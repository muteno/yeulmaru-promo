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예술사업팀 공유폴더\1. 팀장님 검토 희망 자료\"/>
    </mc:Choice>
  </mc:AlternateContent>
  <bookViews>
    <workbookView xWindow="0" yWindow="0" windowWidth="28800" windowHeight="13695" activeTab="1"/>
  </bookViews>
  <sheets>
    <sheet name="원문" sheetId="3" r:id="rId1"/>
    <sheet name="수정" sheetId="1" r:id="rId2"/>
    <sheet name="Sheet2" sheetId="2" r:id="rId3"/>
  </sheets>
  <definedNames>
    <definedName name="_xlnm.Print_Area" localSheetId="1">수정!$B$2:$Q$24</definedName>
    <definedName name="_xlnm.Print_Area" localSheetId="0">원문!$A$1:$L$23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1" l="1"/>
  <c r="M12" i="1"/>
  <c r="L6" i="1" l="1"/>
  <c r="O6" i="1"/>
  <c r="P6" i="1"/>
  <c r="V6" i="1"/>
  <c r="V12" i="1" s="1"/>
  <c r="V7" i="1"/>
  <c r="L8" i="1"/>
  <c r="P8" i="1"/>
  <c r="L9" i="1"/>
  <c r="M9" i="1"/>
  <c r="O9" i="1" s="1"/>
  <c r="N9" i="1"/>
  <c r="P9" i="1"/>
  <c r="L10" i="1"/>
  <c r="O10" i="1"/>
  <c r="P10" i="1"/>
  <c r="V10" i="1"/>
  <c r="L11" i="1"/>
  <c r="O11" i="1"/>
  <c r="P11" i="1"/>
  <c r="V11" i="1"/>
  <c r="P12" i="1"/>
  <c r="O12" i="1"/>
  <c r="S12" i="1"/>
  <c r="J7" i="1" s="1"/>
  <c r="T12" i="1"/>
  <c r="M7" i="1" s="1"/>
  <c r="U12" i="1"/>
  <c r="N7" i="1" s="1"/>
  <c r="L13" i="1"/>
  <c r="O13" i="1"/>
  <c r="P13" i="1"/>
  <c r="L14" i="1"/>
  <c r="O14" i="1"/>
  <c r="P14" i="1"/>
  <c r="V14" i="1"/>
  <c r="L15" i="1"/>
  <c r="O15" i="1"/>
  <c r="P15" i="1"/>
  <c r="O7" i="1" l="1"/>
  <c r="L7" i="1"/>
  <c r="P7" i="1"/>
  <c r="L12" i="1"/>
  <c r="G26" i="1"/>
  <c r="I26" i="1"/>
  <c r="G27" i="1"/>
  <c r="I27" i="1"/>
  <c r="J27" i="1"/>
  <c r="P23" i="1"/>
  <c r="P22" i="1"/>
  <c r="P21" i="1"/>
  <c r="P20" i="1"/>
  <c r="P19" i="1"/>
  <c r="P18" i="1"/>
  <c r="P17" i="1"/>
  <c r="P16" i="1"/>
  <c r="Q27" i="1" l="1"/>
  <c r="Q15" i="1" s="1"/>
  <c r="L22" i="1"/>
  <c r="O22" i="1"/>
  <c r="E23" i="3"/>
  <c r="C23" i="3"/>
  <c r="B23" i="3"/>
  <c r="L22" i="3"/>
  <c r="K22" i="3"/>
  <c r="H22" i="3"/>
  <c r="D22" i="3"/>
  <c r="L21" i="3"/>
  <c r="K21" i="3"/>
  <c r="H21" i="3"/>
  <c r="D21" i="3"/>
  <c r="L20" i="3"/>
  <c r="K20" i="3"/>
  <c r="H20" i="3"/>
  <c r="D20" i="3"/>
  <c r="L19" i="3"/>
  <c r="K19" i="3"/>
  <c r="H19" i="3"/>
  <c r="D19" i="3"/>
  <c r="L18" i="3"/>
  <c r="K18" i="3"/>
  <c r="H18" i="3"/>
  <c r="D18" i="3"/>
  <c r="L17" i="3"/>
  <c r="J17" i="3"/>
  <c r="I17" i="3"/>
  <c r="K17" i="3" s="1"/>
  <c r="H17" i="3"/>
  <c r="D17" i="3"/>
  <c r="R16" i="3"/>
  <c r="L16" i="3"/>
  <c r="K16" i="3"/>
  <c r="H16" i="3"/>
  <c r="D16" i="3"/>
  <c r="R15" i="3"/>
  <c r="L15" i="3"/>
  <c r="K15" i="3"/>
  <c r="H15" i="3"/>
  <c r="D15" i="3"/>
  <c r="L14" i="3"/>
  <c r="K14" i="3"/>
  <c r="H14" i="3"/>
  <c r="D14" i="3"/>
  <c r="R13" i="3"/>
  <c r="L13" i="3"/>
  <c r="K13" i="3"/>
  <c r="H13" i="3"/>
  <c r="D13" i="3"/>
  <c r="R12" i="3"/>
  <c r="L12" i="3"/>
  <c r="K12" i="3"/>
  <c r="H12" i="3"/>
  <c r="D12" i="3"/>
  <c r="L11" i="3"/>
  <c r="K11" i="3"/>
  <c r="H11" i="3"/>
  <c r="D11" i="3"/>
  <c r="L10" i="3"/>
  <c r="K10" i="3"/>
  <c r="H10" i="3"/>
  <c r="D10" i="3"/>
  <c r="Q9" i="3"/>
  <c r="J6" i="3" s="1"/>
  <c r="J23" i="3" s="1"/>
  <c r="P9" i="3"/>
  <c r="I6" i="3" s="1"/>
  <c r="O9" i="3"/>
  <c r="J9" i="3"/>
  <c r="K9" i="3" s="1"/>
  <c r="I9" i="3"/>
  <c r="F9" i="3"/>
  <c r="F23" i="3" s="1"/>
  <c r="D9" i="3"/>
  <c r="R8" i="3"/>
  <c r="L8" i="3"/>
  <c r="K8" i="3"/>
  <c r="H8" i="3"/>
  <c r="D8" i="3"/>
  <c r="R7" i="3"/>
  <c r="L7" i="3"/>
  <c r="K7" i="3"/>
  <c r="H7" i="3"/>
  <c r="D7" i="3"/>
  <c r="R6" i="3"/>
  <c r="L6" i="3"/>
  <c r="H6" i="3"/>
  <c r="F6" i="3"/>
  <c r="D6" i="3"/>
  <c r="R5" i="3"/>
  <c r="R9" i="3" s="1"/>
  <c r="L5" i="3"/>
  <c r="K5" i="3"/>
  <c r="H5" i="3"/>
  <c r="D5" i="3"/>
  <c r="D23" i="3" s="1"/>
  <c r="I23" i="3" l="1"/>
  <c r="K6" i="3"/>
  <c r="G19" i="3"/>
  <c r="G17" i="3"/>
  <c r="G15" i="3"/>
  <c r="G22" i="3"/>
  <c r="G18" i="3"/>
  <c r="G14" i="3"/>
  <c r="G12" i="3"/>
  <c r="G8" i="3"/>
  <c r="G21" i="3"/>
  <c r="G16" i="3"/>
  <c r="G11" i="3"/>
  <c r="G10" i="3"/>
  <c r="G5" i="3"/>
  <c r="G7" i="3"/>
  <c r="G20" i="3"/>
  <c r="G13" i="3"/>
  <c r="G6" i="3"/>
  <c r="K23" i="3"/>
  <c r="H23" i="3"/>
  <c r="G9" i="3"/>
  <c r="H9" i="3"/>
  <c r="L9" i="3"/>
  <c r="I24" i="1"/>
  <c r="L23" i="1"/>
  <c r="L21" i="1"/>
  <c r="L20" i="1"/>
  <c r="L19" i="1"/>
  <c r="L18" i="1"/>
  <c r="L17" i="1"/>
  <c r="L16" i="1"/>
  <c r="G23" i="3" l="1"/>
  <c r="V21" i="1" l="1"/>
  <c r="V19" i="1"/>
  <c r="V18" i="1"/>
  <c r="O16" i="1"/>
  <c r="O17" i="1"/>
  <c r="O18" i="1"/>
  <c r="O19" i="1"/>
  <c r="O20" i="1"/>
  <c r="O21" i="1"/>
  <c r="O23" i="1"/>
  <c r="J26" i="1" l="1"/>
  <c r="Q26" i="1" s="1"/>
  <c r="Q6" i="1" s="1"/>
  <c r="M24" i="1"/>
  <c r="J24" i="1"/>
  <c r="N24" i="1"/>
  <c r="G24" i="1"/>
  <c r="F24" i="1"/>
  <c r="H22" i="1" l="1"/>
  <c r="H6" i="1"/>
  <c r="H12" i="1"/>
  <c r="H7" i="1"/>
  <c r="H11" i="1"/>
  <c r="H15" i="1"/>
  <c r="H13" i="1"/>
  <c r="H9" i="1"/>
  <c r="H14" i="1"/>
  <c r="H8" i="1"/>
  <c r="H10" i="1"/>
  <c r="K13" i="1"/>
  <c r="K6" i="1"/>
  <c r="K14" i="1"/>
  <c r="K8" i="1"/>
  <c r="K11" i="1"/>
  <c r="K9" i="1"/>
  <c r="K15" i="1"/>
  <c r="K10" i="1"/>
  <c r="K12" i="1"/>
  <c r="K7" i="1"/>
  <c r="K18" i="1"/>
  <c r="Q24" i="1"/>
  <c r="P24" i="1"/>
  <c r="K22" i="1"/>
  <c r="K21" i="1"/>
  <c r="K23" i="1"/>
  <c r="K20" i="1"/>
  <c r="K19" i="1"/>
  <c r="O24" i="1"/>
  <c r="L24" i="1"/>
  <c r="K16" i="1"/>
  <c r="K17" i="1"/>
  <c r="H19" i="1"/>
  <c r="H18" i="1"/>
  <c r="H17" i="1"/>
  <c r="H23" i="1"/>
  <c r="H21" i="1"/>
  <c r="H16" i="1"/>
  <c r="H20" i="1"/>
  <c r="K24" i="1" l="1"/>
  <c r="H24" i="1"/>
</calcChain>
</file>

<file path=xl/sharedStrings.xml><?xml version="1.0" encoding="utf-8"?>
<sst xmlns="http://schemas.openxmlformats.org/spreadsheetml/2006/main" count="136" uniqueCount="101">
  <si>
    <t>신년음악회</t>
    <phoneticPr fontId="2" type="noConversion"/>
  </si>
  <si>
    <t>구분</t>
    <phoneticPr fontId="2" type="noConversion"/>
  </si>
  <si>
    <t>예산</t>
    <phoneticPr fontId="2" type="noConversion"/>
  </si>
  <si>
    <t>브런치</t>
    <phoneticPr fontId="2" type="noConversion"/>
  </si>
  <si>
    <t>헬로오페라</t>
    <phoneticPr fontId="2" type="noConversion"/>
  </si>
  <si>
    <t>클래식시리즈 1(조재혁)</t>
    <phoneticPr fontId="2" type="noConversion"/>
  </si>
  <si>
    <t>클래식시리즈2(양성원)</t>
    <phoneticPr fontId="2" type="noConversion"/>
  </si>
  <si>
    <t>아동극시리즈 1(폴리팝)</t>
    <phoneticPr fontId="2" type="noConversion"/>
  </si>
  <si>
    <t>아동극시리즈 2(친구)</t>
    <phoneticPr fontId="2" type="noConversion"/>
  </si>
  <si>
    <t>뮤지컬 1(노트르담)</t>
    <phoneticPr fontId="2" type="noConversion"/>
  </si>
  <si>
    <t>뮤지컬 2(젠틀맨)</t>
    <phoneticPr fontId="2" type="noConversion"/>
  </si>
  <si>
    <t>청소년뮤지컬(오즈)</t>
    <phoneticPr fontId="2" type="noConversion"/>
  </si>
  <si>
    <t>연극(시간)</t>
    <phoneticPr fontId="2" type="noConversion"/>
  </si>
  <si>
    <t>공모사업</t>
    <phoneticPr fontId="2" type="noConversion"/>
  </si>
  <si>
    <t>야외페스티벌(위크)</t>
    <phoneticPr fontId="2" type="noConversion"/>
  </si>
  <si>
    <t>협력사업(썸데이)</t>
    <phoneticPr fontId="2" type="noConversion"/>
  </si>
  <si>
    <t>크리스마스(윤한)</t>
    <phoneticPr fontId="2" type="noConversion"/>
  </si>
  <si>
    <t>클래식공연 3(3테너)</t>
    <phoneticPr fontId="2" type="noConversion"/>
  </si>
  <si>
    <t>크리스마스 2(라 보엠)</t>
    <phoneticPr fontId="2" type="noConversion"/>
  </si>
  <si>
    <t>계</t>
    <phoneticPr fontId="2" type="noConversion"/>
  </si>
  <si>
    <t>판매</t>
    <phoneticPr fontId="2" type="noConversion"/>
  </si>
  <si>
    <t>초대</t>
    <phoneticPr fontId="2" type="noConversion"/>
  </si>
  <si>
    <t>계</t>
    <phoneticPr fontId="2" type="noConversion"/>
  </si>
  <si>
    <t>장영실</t>
    <phoneticPr fontId="2" type="noConversion"/>
  </si>
  <si>
    <t>브런치 1</t>
    <phoneticPr fontId="2" type="noConversion"/>
  </si>
  <si>
    <t>브런치 2</t>
    <phoneticPr fontId="2" type="noConversion"/>
  </si>
  <si>
    <t>브런치 3</t>
    <phoneticPr fontId="2" type="noConversion"/>
  </si>
  <si>
    <t>브런치 4</t>
    <phoneticPr fontId="2" type="noConversion"/>
  </si>
  <si>
    <t>무풍</t>
    <phoneticPr fontId="2" type="noConversion"/>
  </si>
  <si>
    <t>실내악 1</t>
    <phoneticPr fontId="2" type="noConversion"/>
  </si>
  <si>
    <t>실내악 2</t>
    <phoneticPr fontId="2" type="noConversion"/>
  </si>
  <si>
    <t>수익율</t>
    <phoneticPr fontId="2" type="noConversion"/>
  </si>
  <si>
    <t>2024 공연사업 운영 결과</t>
    <phoneticPr fontId="2" type="noConversion"/>
  </si>
  <si>
    <t>지출</t>
    <phoneticPr fontId="2" type="noConversion"/>
  </si>
  <si>
    <t>총액대비 비율</t>
    <phoneticPr fontId="2" type="noConversion"/>
  </si>
  <si>
    <t>매출</t>
    <phoneticPr fontId="2" type="noConversion"/>
  </si>
  <si>
    <t xml:space="preserve">차액
(a-b) </t>
    <phoneticPr fontId="2" type="noConversion"/>
  </si>
  <si>
    <t>정산서 기준(b)</t>
    <phoneticPr fontId="2" type="noConversion"/>
  </si>
  <si>
    <t>전표실적(a)</t>
    <phoneticPr fontId="2" type="noConversion"/>
  </si>
  <si>
    <t>총액대비 비율</t>
    <phoneticPr fontId="2" type="noConversion"/>
  </si>
  <si>
    <t>* 붉은색 표기: 상위 3개 공연, 파란색 표기: 하위 3개</t>
    <phoneticPr fontId="2" type="noConversion"/>
  </si>
  <si>
    <t>판매수수료</t>
    <phoneticPr fontId="2" type="noConversion"/>
  </si>
  <si>
    <t>발레(호두까기)</t>
    <phoneticPr fontId="2" type="noConversion"/>
  </si>
  <si>
    <t>1. 신년음악회</t>
    <phoneticPr fontId="2" type="noConversion"/>
  </si>
  <si>
    <t>2. 헬로 오페라 봄봄</t>
    <phoneticPr fontId="2" type="noConversion"/>
  </si>
  <si>
    <t>3. 조재혁</t>
    <phoneticPr fontId="2" type="noConversion"/>
  </si>
  <si>
    <t>4. 양성원</t>
    <phoneticPr fontId="2" type="noConversion"/>
  </si>
  <si>
    <t>5. 친구의 전설</t>
    <phoneticPr fontId="2" type="noConversion"/>
  </si>
  <si>
    <t>6. 호두까기</t>
    <phoneticPr fontId="2" type="noConversion"/>
  </si>
  <si>
    <t>7. 시간</t>
    <phoneticPr fontId="2" type="noConversion"/>
  </si>
  <si>
    <t>8. 썸데이</t>
    <phoneticPr fontId="2" type="noConversion"/>
  </si>
  <si>
    <t>9. 3테너</t>
    <phoneticPr fontId="2" type="noConversion"/>
  </si>
  <si>
    <t>10. 예경+라보엠(4,352,000+9,440,000-4,023,536+2,677,000)</t>
    <phoneticPr fontId="2" type="noConversion"/>
  </si>
  <si>
    <t>(단위 : 천원)</t>
    <phoneticPr fontId="2" type="noConversion"/>
  </si>
  <si>
    <t>비율</t>
    <phoneticPr fontId="2" type="noConversion"/>
  </si>
  <si>
    <t>인원수</t>
    <phoneticPr fontId="2" type="noConversion"/>
  </si>
  <si>
    <t>진행월</t>
    <phoneticPr fontId="2" type="noConversion"/>
  </si>
  <si>
    <t>1월</t>
    <phoneticPr fontId="2" type="noConversion"/>
  </si>
  <si>
    <t>12월</t>
    <phoneticPr fontId="2" type="noConversion"/>
  </si>
  <si>
    <t>11월</t>
    <phoneticPr fontId="2" type="noConversion"/>
  </si>
  <si>
    <t>11월</t>
    <phoneticPr fontId="2" type="noConversion"/>
  </si>
  <si>
    <t>7월</t>
    <phoneticPr fontId="2" type="noConversion"/>
  </si>
  <si>
    <t>판매
수수료</t>
    <phoneticPr fontId="2" type="noConversion"/>
  </si>
  <si>
    <t>수익율</t>
    <phoneticPr fontId="2" type="noConversion"/>
  </si>
  <si>
    <t>정산서(b)</t>
    <phoneticPr fontId="2" type="noConversion"/>
  </si>
  <si>
    <t>브런치 콘서트</t>
    <phoneticPr fontId="2" type="noConversion"/>
  </si>
  <si>
    <t>5월</t>
    <phoneticPr fontId="2" type="noConversion"/>
  </si>
  <si>
    <t>8월</t>
    <phoneticPr fontId="2" type="noConversion"/>
  </si>
  <si>
    <t>3/6/9/12월</t>
    <phoneticPr fontId="2" type="noConversion"/>
  </si>
  <si>
    <t>10월</t>
    <phoneticPr fontId="2" type="noConversion"/>
  </si>
  <si>
    <t>9월</t>
    <phoneticPr fontId="2" type="noConversion"/>
  </si>
  <si>
    <t>클래식시리즈 1 (조재혁)</t>
    <phoneticPr fontId="2" type="noConversion"/>
  </si>
  <si>
    <t>클래식시리즈2 (양성원)</t>
    <phoneticPr fontId="2" type="noConversion"/>
  </si>
  <si>
    <t>클래식공연 3 (3테너)</t>
    <phoneticPr fontId="2" type="noConversion"/>
  </si>
  <si>
    <t>연중</t>
    <phoneticPr fontId="2" type="noConversion"/>
  </si>
  <si>
    <t>횟수</t>
    <phoneticPr fontId="2" type="noConversion"/>
  </si>
  <si>
    <t xml:space="preserve">예
술
성
</t>
    <phoneticPr fontId="2" type="noConversion"/>
  </si>
  <si>
    <t>상
업
성</t>
    <phoneticPr fontId="2" type="noConversion"/>
  </si>
  <si>
    <t>뮤지컬 2 (젠틀맨스가이드)</t>
    <phoneticPr fontId="2" type="noConversion"/>
  </si>
  <si>
    <t>뮤지컬 1 (노트르담드파리)</t>
    <phoneticPr fontId="2" type="noConversion"/>
  </si>
  <si>
    <t>청소년뮤지컬 (오즈의 의류수거함)</t>
    <phoneticPr fontId="2" type="noConversion"/>
  </si>
  <si>
    <t>발레 (호두까기인형)</t>
    <phoneticPr fontId="2" type="noConversion"/>
  </si>
  <si>
    <t>합계</t>
    <phoneticPr fontId="2" type="noConversion"/>
  </si>
  <si>
    <t>4회</t>
    <phoneticPr fontId="2" type="noConversion"/>
  </si>
  <si>
    <t>4회</t>
    <phoneticPr fontId="2" type="noConversion"/>
  </si>
  <si>
    <t>1회</t>
    <phoneticPr fontId="2" type="noConversion"/>
  </si>
  <si>
    <t>5회</t>
    <phoneticPr fontId="2" type="noConversion"/>
  </si>
  <si>
    <t>2회</t>
    <phoneticPr fontId="2" type="noConversion"/>
  </si>
  <si>
    <t>3회</t>
    <phoneticPr fontId="2" type="noConversion"/>
  </si>
  <si>
    <t>10회</t>
    <phoneticPr fontId="2" type="noConversion"/>
  </si>
  <si>
    <t>8회</t>
    <phoneticPr fontId="2" type="noConversion"/>
  </si>
  <si>
    <t>6회</t>
    <phoneticPr fontId="2" type="noConversion"/>
  </si>
  <si>
    <t>12회</t>
    <phoneticPr fontId="2" type="noConversion"/>
  </si>
  <si>
    <t>야외페스티벌(예울마루 위크, 공연)</t>
    <phoneticPr fontId="2" type="noConversion"/>
  </si>
  <si>
    <t>76회</t>
    <phoneticPr fontId="2" type="noConversion"/>
  </si>
  <si>
    <t>협력사업 (썸데이, 소극장)</t>
    <phoneticPr fontId="2" type="noConversion"/>
  </si>
  <si>
    <t>아동극시리즈 1 (폴리팝)</t>
    <phoneticPr fontId="2" type="noConversion"/>
  </si>
  <si>
    <t>연극 (시간을 파는 상점, 소극장)</t>
    <phoneticPr fontId="2" type="noConversion"/>
  </si>
  <si>
    <t>1480명</t>
    <phoneticPr fontId="2" type="noConversion"/>
  </si>
  <si>
    <t>아동극시리즈 2 (친구의 전설)</t>
    <phoneticPr fontId="2" type="noConversion"/>
  </si>
  <si>
    <r>
      <t xml:space="preserve">공모사업 (별별GPT, 무풍 </t>
    </r>
    <r>
      <rPr>
        <b/>
        <sz val="11"/>
        <color rgb="FF0000FF"/>
        <rFont val="맑은 고딕"/>
        <family val="3"/>
        <charset val="129"/>
        <scheme val="minor"/>
      </rPr>
      <t>소극장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</si>
</sst>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,##0,"/>
    <numFmt numFmtId="178" formatCode="#&quot;명&quot;"/>
    <numFmt numFmtId="179" formatCode="#.0&quot;%&quot;"/>
    <numFmt numFmtId="180" formatCode="#&quot;회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EEF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rgb="FF0070C0"/>
      </left>
      <right style="thin">
        <color auto="1"/>
      </right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rgb="FF0070C0"/>
      </top>
      <bottom style="medium">
        <color rgb="FF0070C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70C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/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/>
      <diagonal/>
    </border>
    <border>
      <left style="medium">
        <color rgb="FF0000FF"/>
      </left>
      <right style="thin">
        <color indexed="64"/>
      </right>
      <top/>
      <bottom/>
      <diagonal/>
    </border>
    <border>
      <left/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FF"/>
      </right>
      <top/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/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/>
      <bottom style="medium">
        <color rgb="FF0000FF"/>
      </bottom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thin">
        <color auto="1"/>
      </right>
      <top/>
      <bottom style="medium">
        <color rgb="FF0000FF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41" fontId="0" fillId="0" borderId="0" xfId="1" applyFont="1">
      <alignment vertical="center"/>
    </xf>
    <xf numFmtId="41" fontId="4" fillId="0" borderId="0" xfId="1" applyFont="1">
      <alignment vertical="center"/>
    </xf>
    <xf numFmtId="41" fontId="3" fillId="0" borderId="0" xfId="0" applyNumberFormat="1" applyFont="1">
      <alignment vertical="center"/>
    </xf>
    <xf numFmtId="41" fontId="3" fillId="0" borderId="0" xfId="1" applyFont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41" fontId="3" fillId="0" borderId="0" xfId="0" applyNumberFormat="1" applyFont="1" applyFill="1" applyBorder="1">
      <alignment vertical="center"/>
    </xf>
    <xf numFmtId="41" fontId="4" fillId="0" borderId="1" xfId="1" applyFont="1" applyBorder="1">
      <alignment vertical="center"/>
    </xf>
    <xf numFmtId="0" fontId="0" fillId="0" borderId="0" xfId="0" applyAlignment="1">
      <alignment vertical="center"/>
    </xf>
    <xf numFmtId="41" fontId="4" fillId="3" borderId="1" xfId="1" applyFont="1" applyFill="1" applyBorder="1">
      <alignment vertical="center"/>
    </xf>
    <xf numFmtId="176" fontId="4" fillId="3" borderId="4" xfId="1" applyNumberFormat="1" applyFont="1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41" fontId="5" fillId="0" borderId="16" xfId="1" applyFont="1" applyBorder="1">
      <alignment vertical="center"/>
    </xf>
    <xf numFmtId="41" fontId="5" fillId="3" borderId="2" xfId="1" applyFont="1" applyFill="1" applyBorder="1">
      <alignment vertical="center"/>
    </xf>
    <xf numFmtId="41" fontId="5" fillId="0" borderId="2" xfId="1" applyFont="1" applyBorder="1">
      <alignment vertical="center"/>
    </xf>
    <xf numFmtId="41" fontId="4" fillId="0" borderId="20" xfId="1" applyFont="1" applyBorder="1">
      <alignment vertical="center"/>
    </xf>
    <xf numFmtId="41" fontId="4" fillId="3" borderId="21" xfId="1" applyFont="1" applyFill="1" applyBorder="1">
      <alignment vertical="center"/>
    </xf>
    <xf numFmtId="41" fontId="4" fillId="0" borderId="21" xfId="1" applyFont="1" applyBorder="1">
      <alignment vertical="center"/>
    </xf>
    <xf numFmtId="41" fontId="5" fillId="2" borderId="22" xfId="1" applyFont="1" applyFill="1" applyBorder="1">
      <alignment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41" fontId="5" fillId="0" borderId="25" xfId="1" applyFont="1" applyBorder="1">
      <alignment vertical="center"/>
    </xf>
    <xf numFmtId="176" fontId="4" fillId="0" borderId="11" xfId="1" applyNumberFormat="1" applyFont="1" applyBorder="1">
      <alignment vertical="center"/>
    </xf>
    <xf numFmtId="41" fontId="5" fillId="3" borderId="26" xfId="1" applyFont="1" applyFill="1" applyBorder="1">
      <alignment vertical="center"/>
    </xf>
    <xf numFmtId="176" fontId="4" fillId="3" borderId="8" xfId="1" applyNumberFormat="1" applyFont="1" applyFill="1" applyBorder="1">
      <alignment vertical="center"/>
    </xf>
    <xf numFmtId="41" fontId="5" fillId="0" borderId="26" xfId="1" applyFont="1" applyBorder="1">
      <alignment vertical="center"/>
    </xf>
    <xf numFmtId="176" fontId="4" fillId="0" borderId="8" xfId="1" applyNumberFormat="1" applyFont="1" applyBorder="1">
      <alignment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41" fontId="5" fillId="0" borderId="10" xfId="1" applyFont="1" applyBorder="1">
      <alignment vertical="center"/>
    </xf>
    <xf numFmtId="41" fontId="5" fillId="3" borderId="7" xfId="1" applyFont="1" applyFill="1" applyBorder="1">
      <alignment vertical="center"/>
    </xf>
    <xf numFmtId="41" fontId="5" fillId="2" borderId="17" xfId="0" applyNumberFormat="1" applyFont="1" applyFill="1" applyBorder="1">
      <alignment vertical="center"/>
    </xf>
    <xf numFmtId="41" fontId="5" fillId="0" borderId="29" xfId="1" applyFont="1" applyBorder="1">
      <alignment vertical="center"/>
    </xf>
    <xf numFmtId="41" fontId="5" fillId="3" borderId="30" xfId="1" applyFont="1" applyFill="1" applyBorder="1">
      <alignment vertical="center"/>
    </xf>
    <xf numFmtId="41" fontId="5" fillId="0" borderId="30" xfId="1" applyFont="1" applyBorder="1">
      <alignment vertical="center"/>
    </xf>
    <xf numFmtId="41" fontId="5" fillId="2" borderId="31" xfId="1" applyFont="1" applyFill="1" applyBorder="1">
      <alignment vertical="center"/>
    </xf>
    <xf numFmtId="41" fontId="3" fillId="0" borderId="34" xfId="1" applyFont="1" applyFill="1" applyBorder="1">
      <alignment vertical="center"/>
    </xf>
    <xf numFmtId="41" fontId="3" fillId="3" borderId="1" xfId="1" applyFont="1" applyFill="1" applyBorder="1">
      <alignment vertical="center"/>
    </xf>
    <xf numFmtId="41" fontId="3" fillId="0" borderId="1" xfId="1" applyFont="1" applyBorder="1">
      <alignment vertical="center"/>
    </xf>
    <xf numFmtId="41" fontId="5" fillId="2" borderId="35" xfId="0" applyNumberFormat="1" applyFont="1" applyFill="1" applyBorder="1">
      <alignment vertical="center"/>
    </xf>
    <xf numFmtId="41" fontId="5" fillId="0" borderId="38" xfId="1" applyFont="1" applyBorder="1">
      <alignment vertical="center"/>
    </xf>
    <xf numFmtId="41" fontId="5" fillId="3" borderId="39" xfId="1" applyFont="1" applyFill="1" applyBorder="1">
      <alignment vertical="center"/>
    </xf>
    <xf numFmtId="41" fontId="5" fillId="0" borderId="39" xfId="1" applyFont="1" applyBorder="1">
      <alignment vertical="center"/>
    </xf>
    <xf numFmtId="41" fontId="5" fillId="2" borderId="40" xfId="0" applyNumberFormat="1" applyFont="1" applyFill="1" applyBorder="1">
      <alignment vertical="center"/>
    </xf>
    <xf numFmtId="41" fontId="5" fillId="2" borderId="31" xfId="0" applyNumberFormat="1" applyFont="1" applyFill="1" applyBorder="1">
      <alignment vertical="center"/>
    </xf>
    <xf numFmtId="41" fontId="5" fillId="0" borderId="42" xfId="1" applyFont="1" applyBorder="1">
      <alignment vertical="center"/>
    </xf>
    <xf numFmtId="176" fontId="4" fillId="0" borderId="43" xfId="1" applyNumberFormat="1" applyFont="1" applyBorder="1">
      <alignment vertical="center"/>
    </xf>
    <xf numFmtId="41" fontId="5" fillId="3" borderId="42" xfId="1" applyFont="1" applyFill="1" applyBorder="1">
      <alignment vertical="center"/>
    </xf>
    <xf numFmtId="41" fontId="5" fillId="3" borderId="25" xfId="1" applyFont="1" applyFill="1" applyBorder="1">
      <alignment vertical="center"/>
    </xf>
    <xf numFmtId="176" fontId="4" fillId="3" borderId="11" xfId="1" applyNumberFormat="1" applyFont="1" applyFill="1" applyBorder="1">
      <alignment vertical="center"/>
    </xf>
    <xf numFmtId="41" fontId="5" fillId="2" borderId="47" xfId="1" applyFont="1" applyFill="1" applyBorder="1">
      <alignment vertical="center"/>
    </xf>
    <xf numFmtId="41" fontId="5" fillId="2" borderId="48" xfId="1" applyFont="1" applyFill="1" applyBorder="1">
      <alignment vertical="center"/>
    </xf>
    <xf numFmtId="41" fontId="5" fillId="3" borderId="49" xfId="1" applyFont="1" applyFill="1" applyBorder="1">
      <alignment vertical="center"/>
    </xf>
    <xf numFmtId="176" fontId="4" fillId="3" borderId="50" xfId="1" applyNumberFormat="1" applyFont="1" applyFill="1" applyBorder="1">
      <alignment vertical="center"/>
    </xf>
    <xf numFmtId="176" fontId="4" fillId="3" borderId="34" xfId="1" applyNumberFormat="1" applyFont="1" applyFill="1" applyBorder="1">
      <alignment vertical="center"/>
    </xf>
    <xf numFmtId="176" fontId="4" fillId="3" borderId="54" xfId="1" applyNumberFormat="1" applyFont="1" applyFill="1" applyBorder="1">
      <alignment vertical="center"/>
    </xf>
    <xf numFmtId="41" fontId="5" fillId="0" borderId="55" xfId="1" applyFont="1" applyBorder="1">
      <alignment vertical="center"/>
    </xf>
    <xf numFmtId="41" fontId="5" fillId="0" borderId="56" xfId="1" applyFont="1" applyBorder="1">
      <alignment vertical="center"/>
    </xf>
    <xf numFmtId="176" fontId="4" fillId="0" borderId="50" xfId="1" applyNumberFormat="1" applyFont="1" applyBorder="1">
      <alignment vertical="center"/>
    </xf>
    <xf numFmtId="41" fontId="5" fillId="3" borderId="10" xfId="1" applyFont="1" applyFill="1" applyBorder="1">
      <alignment vertical="center"/>
    </xf>
    <xf numFmtId="41" fontId="5" fillId="4" borderId="44" xfId="1" applyFont="1" applyFill="1" applyBorder="1">
      <alignment vertical="center"/>
    </xf>
    <xf numFmtId="176" fontId="4" fillId="4" borderId="45" xfId="1" applyNumberFormat="1" applyFont="1" applyFill="1" applyBorder="1">
      <alignment vertical="center"/>
    </xf>
    <xf numFmtId="176" fontId="4" fillId="4" borderId="53" xfId="1" applyNumberFormat="1" applyFont="1" applyFill="1" applyBorder="1">
      <alignment vertical="center"/>
    </xf>
    <xf numFmtId="41" fontId="5" fillId="5" borderId="51" xfId="1" applyFont="1" applyFill="1" applyBorder="1">
      <alignment vertical="center"/>
    </xf>
    <xf numFmtId="176" fontId="4" fillId="5" borderId="52" xfId="1" applyNumberFormat="1" applyFont="1" applyFill="1" applyBorder="1">
      <alignment vertical="center"/>
    </xf>
    <xf numFmtId="176" fontId="4" fillId="5" borderId="57" xfId="1" applyNumberFormat="1" applyFont="1" applyFill="1" applyBorder="1">
      <alignment vertical="center"/>
    </xf>
    <xf numFmtId="41" fontId="5" fillId="3" borderId="55" xfId="1" applyFont="1" applyFill="1" applyBorder="1">
      <alignment vertical="center"/>
    </xf>
    <xf numFmtId="41" fontId="5" fillId="2" borderId="58" xfId="1" applyFont="1" applyFill="1" applyBorder="1">
      <alignment vertical="center"/>
    </xf>
    <xf numFmtId="41" fontId="5" fillId="0" borderId="59" xfId="1" applyFont="1" applyBorder="1">
      <alignment vertical="center"/>
    </xf>
    <xf numFmtId="176" fontId="4" fillId="0" borderId="60" xfId="1" applyNumberFormat="1" applyFont="1" applyBorder="1">
      <alignment vertical="center"/>
    </xf>
    <xf numFmtId="176" fontId="4" fillId="0" borderId="54" xfId="1" applyNumberFormat="1" applyFont="1" applyBorder="1">
      <alignment vertical="center"/>
    </xf>
    <xf numFmtId="41" fontId="5" fillId="3" borderId="61" xfId="1" applyFont="1" applyFill="1" applyBorder="1">
      <alignment vertical="center"/>
    </xf>
    <xf numFmtId="41" fontId="5" fillId="3" borderId="38" xfId="1" applyFont="1" applyFill="1" applyBorder="1">
      <alignment vertical="center"/>
    </xf>
    <xf numFmtId="41" fontId="5" fillId="3" borderId="62" xfId="1" applyFont="1" applyFill="1" applyBorder="1">
      <alignment vertical="center"/>
    </xf>
    <xf numFmtId="41" fontId="5" fillId="5" borderId="46" xfId="1" applyFont="1" applyFill="1" applyBorder="1">
      <alignment vertical="center"/>
    </xf>
    <xf numFmtId="0" fontId="3" fillId="0" borderId="0" xfId="0" applyFont="1" applyAlignment="1">
      <alignment horizontal="left" vertical="center"/>
    </xf>
    <xf numFmtId="41" fontId="5" fillId="0" borderId="61" xfId="1" applyFont="1" applyBorder="1">
      <alignment vertical="center"/>
    </xf>
    <xf numFmtId="41" fontId="5" fillId="0" borderId="63" xfId="1" applyFont="1" applyBorder="1">
      <alignment vertical="center"/>
    </xf>
    <xf numFmtId="41" fontId="5" fillId="4" borderId="41" xfId="1" applyFont="1" applyFill="1" applyBorder="1">
      <alignment vertical="center"/>
    </xf>
    <xf numFmtId="41" fontId="5" fillId="4" borderId="64" xfId="1" applyFont="1" applyFill="1" applyBorder="1">
      <alignment vertical="center"/>
    </xf>
    <xf numFmtId="41" fontId="5" fillId="2" borderId="68" xfId="1" applyFont="1" applyFill="1" applyBorder="1">
      <alignment vertical="center"/>
    </xf>
    <xf numFmtId="41" fontId="4" fillId="3" borderId="71" xfId="1" applyNumberFormat="1" applyFont="1" applyFill="1" applyBorder="1">
      <alignment vertical="center"/>
    </xf>
    <xf numFmtId="3" fontId="4" fillId="0" borderId="0" xfId="0" applyNumberFormat="1" applyFont="1">
      <alignment vertical="center"/>
    </xf>
    <xf numFmtId="41" fontId="4" fillId="0" borderId="72" xfId="1" applyNumberFormat="1" applyFont="1" applyFill="1" applyBorder="1">
      <alignment vertical="center"/>
    </xf>
    <xf numFmtId="41" fontId="4" fillId="0" borderId="4" xfId="1" applyNumberFormat="1" applyFont="1" applyBorder="1">
      <alignment vertical="center"/>
    </xf>
    <xf numFmtId="41" fontId="4" fillId="0" borderId="3" xfId="1" applyNumberFormat="1" applyFont="1" applyFill="1" applyBorder="1">
      <alignment vertical="center"/>
    </xf>
    <xf numFmtId="41" fontId="4" fillId="3" borderId="69" xfId="1" applyNumberFormat="1" applyFont="1" applyFill="1" applyBorder="1">
      <alignment vertical="center"/>
    </xf>
    <xf numFmtId="41" fontId="4" fillId="3" borderId="4" xfId="1" applyNumberFormat="1" applyFont="1" applyFill="1" applyBorder="1">
      <alignment vertical="center"/>
    </xf>
    <xf numFmtId="41" fontId="4" fillId="0" borderId="70" xfId="1" applyNumberFormat="1" applyFont="1" applyFill="1" applyBorder="1">
      <alignment vertical="center"/>
    </xf>
    <xf numFmtId="41" fontId="4" fillId="0" borderId="67" xfId="1" applyNumberFormat="1" applyFont="1" applyBorder="1">
      <alignment vertical="center"/>
    </xf>
    <xf numFmtId="41" fontId="4" fillId="0" borderId="4" xfId="1" applyNumberFormat="1" applyFont="1" applyFill="1" applyBorder="1">
      <alignment vertical="center"/>
    </xf>
    <xf numFmtId="41" fontId="4" fillId="3" borderId="30" xfId="1" applyNumberFormat="1" applyFont="1" applyFill="1" applyBorder="1">
      <alignment vertical="center"/>
    </xf>
    <xf numFmtId="41" fontId="4" fillId="3" borderId="3" xfId="1" applyNumberFormat="1" applyFont="1" applyFill="1" applyBorder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78" fontId="7" fillId="7" borderId="73" xfId="1" applyNumberFormat="1" applyFont="1" applyFill="1" applyBorder="1">
      <alignment vertical="center"/>
    </xf>
    <xf numFmtId="179" fontId="7" fillId="7" borderId="73" xfId="1" applyNumberFormat="1" applyFont="1" applyFill="1" applyBorder="1">
      <alignment vertical="center"/>
    </xf>
    <xf numFmtId="177" fontId="7" fillId="7" borderId="73" xfId="1" applyNumberFormat="1" applyFont="1" applyFill="1" applyBorder="1" applyAlignment="1">
      <alignment horizontal="right" vertical="center"/>
    </xf>
    <xf numFmtId="177" fontId="7" fillId="7" borderId="75" xfId="1" applyNumberFormat="1" applyFont="1" applyFill="1" applyBorder="1" applyAlignment="1">
      <alignment horizontal="right" vertical="center"/>
    </xf>
    <xf numFmtId="179" fontId="7" fillId="7" borderId="75" xfId="1" applyNumberFormat="1" applyFont="1" applyFill="1" applyBorder="1">
      <alignment vertical="center"/>
    </xf>
    <xf numFmtId="178" fontId="7" fillId="7" borderId="75" xfId="1" applyNumberFormat="1" applyFont="1" applyFill="1" applyBorder="1">
      <alignment vertical="center"/>
    </xf>
    <xf numFmtId="41" fontId="8" fillId="8" borderId="73" xfId="1" applyFont="1" applyFill="1" applyBorder="1" applyAlignment="1">
      <alignment horizontal="left" vertical="center"/>
    </xf>
    <xf numFmtId="41" fontId="7" fillId="7" borderId="73" xfId="1" applyFont="1" applyFill="1" applyBorder="1" applyAlignment="1">
      <alignment horizontal="left" vertical="center"/>
    </xf>
    <xf numFmtId="41" fontId="8" fillId="9" borderId="73" xfId="1" applyFont="1" applyFill="1" applyBorder="1" applyAlignment="1">
      <alignment horizontal="left" vertical="center"/>
    </xf>
    <xf numFmtId="41" fontId="8" fillId="6" borderId="73" xfId="1" applyFont="1" applyFill="1" applyBorder="1" applyAlignment="1">
      <alignment horizontal="left" vertical="center"/>
    </xf>
    <xf numFmtId="41" fontId="8" fillId="8" borderId="75" xfId="1" applyFont="1" applyFill="1" applyBorder="1" applyAlignment="1">
      <alignment horizontal="left" vertical="center"/>
    </xf>
    <xf numFmtId="41" fontId="7" fillId="7" borderId="75" xfId="1" applyFont="1" applyFill="1" applyBorder="1" applyAlignment="1">
      <alignment horizontal="left" vertical="center"/>
    </xf>
    <xf numFmtId="0" fontId="8" fillId="10" borderId="74" xfId="0" applyFont="1" applyFill="1" applyBorder="1" applyAlignment="1">
      <alignment horizontal="center" vertical="center"/>
    </xf>
    <xf numFmtId="0" fontId="8" fillId="10" borderId="74" xfId="0" applyFont="1" applyFill="1" applyBorder="1" applyAlignment="1">
      <alignment horizontal="center" vertical="center" wrapText="1"/>
    </xf>
    <xf numFmtId="41" fontId="8" fillId="8" borderId="79" xfId="1" applyFont="1" applyFill="1" applyBorder="1" applyAlignment="1">
      <alignment horizontal="left" vertical="center"/>
    </xf>
    <xf numFmtId="41" fontId="7" fillId="7" borderId="79" xfId="1" applyFont="1" applyFill="1" applyBorder="1" applyAlignment="1">
      <alignment horizontal="left" vertical="center"/>
    </xf>
    <xf numFmtId="177" fontId="7" fillId="7" borderId="79" xfId="1" applyNumberFormat="1" applyFont="1" applyFill="1" applyBorder="1" applyAlignment="1">
      <alignment horizontal="right" vertical="center"/>
    </xf>
    <xf numFmtId="179" fontId="7" fillId="7" borderId="79" xfId="1" applyNumberFormat="1" applyFont="1" applyFill="1" applyBorder="1">
      <alignment vertical="center"/>
    </xf>
    <xf numFmtId="178" fontId="7" fillId="7" borderId="79" xfId="1" applyNumberFormat="1" applyFont="1" applyFill="1" applyBorder="1">
      <alignment vertical="center"/>
    </xf>
    <xf numFmtId="179" fontId="7" fillId="7" borderId="80" xfId="1" applyNumberFormat="1" applyFont="1" applyFill="1" applyBorder="1">
      <alignment vertical="center"/>
    </xf>
    <xf numFmtId="179" fontId="7" fillId="7" borderId="85" xfId="1" applyNumberFormat="1" applyFont="1" applyFill="1" applyBorder="1">
      <alignment vertical="center"/>
    </xf>
    <xf numFmtId="179" fontId="7" fillId="6" borderId="85" xfId="1" applyNumberFormat="1" applyFont="1" applyFill="1" applyBorder="1">
      <alignment vertical="center"/>
    </xf>
    <xf numFmtId="41" fontId="8" fillId="8" borderId="81" xfId="1" applyFont="1" applyFill="1" applyBorder="1" applyAlignment="1">
      <alignment horizontal="left" vertical="center"/>
    </xf>
    <xf numFmtId="41" fontId="7" fillId="7" borderId="81" xfId="1" applyFont="1" applyFill="1" applyBorder="1" applyAlignment="1">
      <alignment horizontal="left" vertical="center"/>
    </xf>
    <xf numFmtId="177" fontId="7" fillId="7" borderId="81" xfId="1" applyNumberFormat="1" applyFont="1" applyFill="1" applyBorder="1" applyAlignment="1">
      <alignment horizontal="right" vertical="center"/>
    </xf>
    <xf numFmtId="179" fontId="7" fillId="7" borderId="81" xfId="1" applyNumberFormat="1" applyFont="1" applyFill="1" applyBorder="1">
      <alignment vertical="center"/>
    </xf>
    <xf numFmtId="178" fontId="7" fillId="7" borderId="81" xfId="1" applyNumberFormat="1" applyFont="1" applyFill="1" applyBorder="1">
      <alignment vertical="center"/>
    </xf>
    <xf numFmtId="41" fontId="8" fillId="6" borderId="81" xfId="1" applyFont="1" applyFill="1" applyBorder="1" applyAlignment="1">
      <alignment horizontal="left" vertical="center"/>
    </xf>
    <xf numFmtId="178" fontId="7" fillId="6" borderId="81" xfId="1" applyNumberFormat="1" applyFont="1" applyFill="1" applyBorder="1">
      <alignment vertical="center"/>
    </xf>
    <xf numFmtId="179" fontId="7" fillId="6" borderId="82" xfId="1" applyNumberFormat="1" applyFont="1" applyFill="1" applyBorder="1">
      <alignment vertical="center"/>
    </xf>
    <xf numFmtId="177" fontId="8" fillId="5" borderId="90" xfId="1" applyNumberFormat="1" applyFont="1" applyFill="1" applyBorder="1" applyAlignment="1">
      <alignment horizontal="right" vertical="center"/>
    </xf>
    <xf numFmtId="179" fontId="8" fillId="5" borderId="90" xfId="1" applyNumberFormat="1" applyFont="1" applyFill="1" applyBorder="1">
      <alignment vertical="center"/>
    </xf>
    <xf numFmtId="178" fontId="8" fillId="5" borderId="90" xfId="0" applyNumberFormat="1" applyFont="1" applyFill="1" applyBorder="1">
      <alignment vertical="center"/>
    </xf>
    <xf numFmtId="179" fontId="8" fillId="5" borderId="91" xfId="0" applyNumberFormat="1" applyFont="1" applyFill="1" applyBorder="1">
      <alignment vertical="center"/>
    </xf>
    <xf numFmtId="179" fontId="8" fillId="4" borderId="85" xfId="1" applyNumberFormat="1" applyFont="1" applyFill="1" applyBorder="1">
      <alignment vertical="center"/>
    </xf>
    <xf numFmtId="177" fontId="8" fillId="4" borderId="73" xfId="1" applyNumberFormat="1" applyFont="1" applyFill="1" applyBorder="1" applyAlignment="1">
      <alignment horizontal="right" vertical="center"/>
    </xf>
    <xf numFmtId="179" fontId="8" fillId="4" borderId="73" xfId="1" applyNumberFormat="1" applyFont="1" applyFill="1" applyBorder="1">
      <alignment vertical="center"/>
    </xf>
    <xf numFmtId="180" fontId="7" fillId="7" borderId="92" xfId="1" applyNumberFormat="1" applyFont="1" applyFill="1" applyBorder="1" applyAlignment="1">
      <alignment horizontal="right" vertical="center"/>
    </xf>
    <xf numFmtId="180" fontId="7" fillId="7" borderId="94" xfId="1" applyNumberFormat="1" applyFont="1" applyFill="1" applyBorder="1" applyAlignment="1">
      <alignment horizontal="right" vertical="center"/>
    </xf>
    <xf numFmtId="180" fontId="7" fillId="7" borderId="95" xfId="1" applyNumberFormat="1" applyFont="1" applyFill="1" applyBorder="1" applyAlignment="1">
      <alignment horizontal="right" vertical="center"/>
    </xf>
    <xf numFmtId="180" fontId="8" fillId="5" borderId="96" xfId="0" applyNumberFormat="1" applyFont="1" applyFill="1" applyBorder="1" applyAlignment="1">
      <alignment horizontal="right" vertical="center"/>
    </xf>
    <xf numFmtId="177" fontId="7" fillId="7" borderId="97" xfId="1" applyNumberFormat="1" applyFont="1" applyFill="1" applyBorder="1" applyAlignment="1">
      <alignment horizontal="right" vertical="center"/>
    </xf>
    <xf numFmtId="177" fontId="7" fillId="7" borderId="92" xfId="1" applyNumberFormat="1" applyFont="1" applyFill="1" applyBorder="1" applyAlignment="1">
      <alignment horizontal="right" vertical="center"/>
    </xf>
    <xf numFmtId="177" fontId="7" fillId="7" borderId="99" xfId="1" applyNumberFormat="1" applyFont="1" applyFill="1" applyBorder="1" applyAlignment="1">
      <alignment horizontal="right" vertical="center"/>
    </xf>
    <xf numFmtId="177" fontId="7" fillId="7" borderId="94" xfId="1" applyNumberFormat="1" applyFont="1" applyFill="1" applyBorder="1" applyAlignment="1">
      <alignment horizontal="right" vertical="center"/>
    </xf>
    <xf numFmtId="177" fontId="8" fillId="4" borderId="99" xfId="1" applyNumberFormat="1" applyFont="1" applyFill="1" applyBorder="1" applyAlignment="1">
      <alignment horizontal="right" vertical="center"/>
    </xf>
    <xf numFmtId="177" fontId="7" fillId="7" borderId="100" xfId="1" applyNumberFormat="1" applyFont="1" applyFill="1" applyBorder="1" applyAlignment="1">
      <alignment horizontal="right" vertical="center"/>
    </xf>
    <xf numFmtId="177" fontId="7" fillId="7" borderId="95" xfId="1" applyNumberFormat="1" applyFont="1" applyFill="1" applyBorder="1" applyAlignment="1">
      <alignment horizontal="right" vertical="center"/>
    </xf>
    <xf numFmtId="177" fontId="8" fillId="5" borderId="101" xfId="1" applyNumberFormat="1" applyFont="1" applyFill="1" applyBorder="1" applyAlignment="1">
      <alignment horizontal="right" vertical="center"/>
    </xf>
    <xf numFmtId="177" fontId="8" fillId="5" borderId="96" xfId="1" applyNumberFormat="1" applyFont="1" applyFill="1" applyBorder="1" applyAlignment="1">
      <alignment horizontal="right" vertical="center"/>
    </xf>
    <xf numFmtId="0" fontId="8" fillId="10" borderId="98" xfId="0" applyFont="1" applyFill="1" applyBorder="1" applyAlignment="1">
      <alignment horizontal="center" vertical="center" wrapText="1"/>
    </xf>
    <xf numFmtId="177" fontId="8" fillId="4" borderId="94" xfId="1" applyNumberFormat="1" applyFont="1" applyFill="1" applyBorder="1" applyAlignment="1">
      <alignment horizontal="right" vertical="center"/>
    </xf>
    <xf numFmtId="0" fontId="8" fillId="10" borderId="98" xfId="0" applyFont="1" applyFill="1" applyBorder="1" applyAlignment="1">
      <alignment horizontal="center" vertical="center"/>
    </xf>
    <xf numFmtId="0" fontId="8" fillId="10" borderId="93" xfId="0" applyFont="1" applyFill="1" applyBorder="1" applyAlignment="1">
      <alignment horizontal="center" vertical="center"/>
    </xf>
    <xf numFmtId="178" fontId="7" fillId="7" borderId="97" xfId="1" applyNumberFormat="1" applyFont="1" applyFill="1" applyBorder="1">
      <alignment vertical="center"/>
    </xf>
    <xf numFmtId="178" fontId="7" fillId="7" borderId="92" xfId="1" applyNumberFormat="1" applyFont="1" applyFill="1" applyBorder="1">
      <alignment vertical="center"/>
    </xf>
    <xf numFmtId="178" fontId="7" fillId="7" borderId="99" xfId="1" applyNumberFormat="1" applyFont="1" applyFill="1" applyBorder="1">
      <alignment vertical="center"/>
    </xf>
    <xf numFmtId="178" fontId="8" fillId="4" borderId="94" xfId="1" applyNumberFormat="1" applyFont="1" applyFill="1" applyBorder="1">
      <alignment vertical="center"/>
    </xf>
    <xf numFmtId="178" fontId="7" fillId="7" borderId="94" xfId="1" applyNumberFormat="1" applyFont="1" applyFill="1" applyBorder="1">
      <alignment vertical="center"/>
    </xf>
    <xf numFmtId="178" fontId="7" fillId="7" borderId="100" xfId="1" applyNumberFormat="1" applyFont="1" applyFill="1" applyBorder="1">
      <alignment vertical="center"/>
    </xf>
    <xf numFmtId="178" fontId="7" fillId="7" borderId="95" xfId="1" applyNumberFormat="1" applyFont="1" applyFill="1" applyBorder="1">
      <alignment vertical="center"/>
    </xf>
    <xf numFmtId="178" fontId="7" fillId="6" borderId="100" xfId="1" applyNumberFormat="1" applyFont="1" applyFill="1" applyBorder="1">
      <alignment vertical="center"/>
    </xf>
    <xf numFmtId="178" fontId="7" fillId="6" borderId="95" xfId="1" applyNumberFormat="1" applyFont="1" applyFill="1" applyBorder="1">
      <alignment vertical="center"/>
    </xf>
    <xf numFmtId="178" fontId="8" fillId="5" borderId="101" xfId="0" applyNumberFormat="1" applyFont="1" applyFill="1" applyBorder="1">
      <alignment vertical="center"/>
    </xf>
    <xf numFmtId="178" fontId="8" fillId="5" borderId="96" xfId="0" applyNumberFormat="1" applyFont="1" applyFill="1" applyBorder="1">
      <alignment vertical="center"/>
    </xf>
    <xf numFmtId="178" fontId="8" fillId="6" borderId="94" xfId="1" applyNumberFormat="1" applyFont="1" applyFill="1" applyBorder="1">
      <alignment vertical="center"/>
    </xf>
    <xf numFmtId="179" fontId="8" fillId="6" borderId="73" xfId="1" applyNumberFormat="1" applyFont="1" applyFill="1" applyBorder="1">
      <alignment vertical="center"/>
    </xf>
    <xf numFmtId="177" fontId="8" fillId="6" borderId="99" xfId="1" applyNumberFormat="1" applyFont="1" applyFill="1" applyBorder="1" applyAlignment="1">
      <alignment horizontal="right" vertical="center"/>
    </xf>
    <xf numFmtId="177" fontId="8" fillId="6" borderId="94" xfId="1" applyNumberFormat="1" applyFont="1" applyFill="1" applyBorder="1" applyAlignment="1">
      <alignment horizontal="right" vertical="center"/>
    </xf>
    <xf numFmtId="177" fontId="4" fillId="0" borderId="0" xfId="0" applyNumberFormat="1" applyFont="1">
      <alignment vertical="center"/>
    </xf>
    <xf numFmtId="179" fontId="8" fillId="0" borderId="76" xfId="0" applyNumberFormat="1" applyFont="1" applyFill="1" applyBorder="1" applyAlignment="1">
      <alignment horizontal="right" vertical="center"/>
    </xf>
    <xf numFmtId="41" fontId="8" fillId="6" borderId="75" xfId="1" applyFont="1" applyFill="1" applyBorder="1" applyAlignment="1">
      <alignment horizontal="left" vertical="center"/>
    </xf>
    <xf numFmtId="180" fontId="7" fillId="7" borderId="105" xfId="1" applyNumberFormat="1" applyFont="1" applyFill="1" applyBorder="1" applyAlignment="1">
      <alignment horizontal="right" vertical="center"/>
    </xf>
    <xf numFmtId="177" fontId="7" fillId="7" borderId="106" xfId="1" applyNumberFormat="1" applyFont="1" applyFill="1" applyBorder="1" applyAlignment="1">
      <alignment horizontal="right" vertical="center"/>
    </xf>
    <xf numFmtId="177" fontId="7" fillId="7" borderId="105" xfId="1" applyNumberFormat="1" applyFont="1" applyFill="1" applyBorder="1" applyAlignment="1">
      <alignment horizontal="right" vertical="center"/>
    </xf>
    <xf numFmtId="178" fontId="7" fillId="7" borderId="106" xfId="1" applyNumberFormat="1" applyFont="1" applyFill="1" applyBorder="1">
      <alignment vertical="center"/>
    </xf>
    <xf numFmtId="178" fontId="7" fillId="7" borderId="105" xfId="1" applyNumberFormat="1" applyFont="1" applyFill="1" applyBorder="1">
      <alignment vertical="center"/>
    </xf>
    <xf numFmtId="179" fontId="7" fillId="4" borderId="107" xfId="1" applyNumberFormat="1" applyFont="1" applyFill="1" applyBorder="1">
      <alignment vertical="center"/>
    </xf>
    <xf numFmtId="177" fontId="8" fillId="6" borderId="106" xfId="1" applyNumberFormat="1" applyFont="1" applyFill="1" applyBorder="1" applyAlignment="1">
      <alignment horizontal="right" vertical="center"/>
    </xf>
    <xf numFmtId="179" fontId="8" fillId="6" borderId="75" xfId="1" applyNumberFormat="1" applyFont="1" applyFill="1" applyBorder="1">
      <alignment vertical="center"/>
    </xf>
    <xf numFmtId="177" fontId="8" fillId="6" borderId="105" xfId="1" applyNumberFormat="1" applyFont="1" applyFill="1" applyBorder="1" applyAlignment="1">
      <alignment horizontal="right" vertical="center"/>
    </xf>
    <xf numFmtId="179" fontId="7" fillId="6" borderId="107" xfId="1" applyNumberFormat="1" applyFont="1" applyFill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179" fontId="8" fillId="4" borderId="82" xfId="1" applyNumberFormat="1" applyFont="1" applyFill="1" applyBorder="1">
      <alignment vertical="center"/>
    </xf>
    <xf numFmtId="178" fontId="7" fillId="7" borderId="73" xfId="1" applyNumberFormat="1" applyFont="1" applyFill="1" applyBorder="1" applyAlignment="1">
      <alignment horizontal="right" vertical="center"/>
    </xf>
    <xf numFmtId="0" fontId="5" fillId="2" borderId="36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9" fontId="8" fillId="0" borderId="102" xfId="1" applyNumberFormat="1" applyFont="1" applyBorder="1" applyAlignment="1">
      <alignment horizontal="right" vertical="center"/>
    </xf>
    <xf numFmtId="179" fontId="8" fillId="0" borderId="103" xfId="1" applyNumberFormat="1" applyFont="1" applyBorder="1" applyAlignment="1">
      <alignment horizontal="right" vertical="center"/>
    </xf>
    <xf numFmtId="179" fontId="8" fillId="0" borderId="104" xfId="1" applyNumberFormat="1" applyFont="1" applyBorder="1" applyAlignment="1">
      <alignment horizontal="right" vertical="center"/>
    </xf>
    <xf numFmtId="0" fontId="0" fillId="10" borderId="83" xfId="0" applyFill="1" applyBorder="1" applyAlignment="1">
      <alignment horizontal="center" vertical="center" wrapText="1"/>
    </xf>
    <xf numFmtId="0" fontId="0" fillId="10" borderId="84" xfId="0" applyFill="1" applyBorder="1" applyAlignment="1">
      <alignment horizontal="center" vertical="center" wrapText="1"/>
    </xf>
    <xf numFmtId="0" fontId="0" fillId="10" borderId="86" xfId="0" applyFill="1" applyBorder="1" applyAlignment="1">
      <alignment horizontal="center" vertical="center" wrapText="1"/>
    </xf>
    <xf numFmtId="0" fontId="8" fillId="10" borderId="102" xfId="0" applyFont="1" applyFill="1" applyBorder="1" applyAlignment="1">
      <alignment horizontal="center" vertical="center" wrapText="1"/>
    </xf>
    <xf numFmtId="0" fontId="8" fillId="10" borderId="104" xfId="0" applyFont="1" applyFill="1" applyBorder="1" applyAlignment="1">
      <alignment horizontal="center" vertical="center" wrapText="1"/>
    </xf>
    <xf numFmtId="0" fontId="8" fillId="10" borderId="77" xfId="0" applyFont="1" applyFill="1" applyBorder="1" applyAlignment="1">
      <alignment horizontal="center" vertical="center"/>
    </xf>
    <xf numFmtId="0" fontId="8" fillId="10" borderId="78" xfId="0" applyFont="1" applyFill="1" applyBorder="1" applyAlignment="1">
      <alignment horizontal="center" vertical="center"/>
    </xf>
    <xf numFmtId="0" fontId="8" fillId="10" borderId="116" xfId="0" applyFont="1" applyFill="1" applyBorder="1" applyAlignment="1">
      <alignment horizontal="center" vertical="center"/>
    </xf>
    <xf numFmtId="0" fontId="8" fillId="10" borderId="117" xfId="0" applyFont="1" applyFill="1" applyBorder="1" applyAlignment="1">
      <alignment horizontal="center" vertical="center"/>
    </xf>
    <xf numFmtId="0" fontId="8" fillId="5" borderId="87" xfId="0" applyFont="1" applyFill="1" applyBorder="1" applyAlignment="1">
      <alignment horizontal="center" vertical="center"/>
    </xf>
    <xf numFmtId="0" fontId="8" fillId="5" borderId="88" xfId="0" applyFont="1" applyFill="1" applyBorder="1" applyAlignment="1">
      <alignment horizontal="center" vertical="center"/>
    </xf>
    <xf numFmtId="0" fontId="8" fillId="5" borderId="8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10" borderId="113" xfId="0" applyFont="1" applyFill="1" applyBorder="1" applyAlignment="1">
      <alignment horizontal="center" vertical="center"/>
    </xf>
    <xf numFmtId="0" fontId="8" fillId="10" borderId="112" xfId="0" applyFont="1" applyFill="1" applyBorder="1" applyAlignment="1">
      <alignment horizontal="center" vertical="center"/>
    </xf>
    <xf numFmtId="0" fontId="8" fillId="10" borderId="83" xfId="0" applyFont="1" applyFill="1" applyBorder="1" applyAlignment="1">
      <alignment horizontal="center" vertical="center"/>
    </xf>
    <xf numFmtId="0" fontId="8" fillId="10" borderId="86" xfId="0" applyFont="1" applyFill="1" applyBorder="1" applyAlignment="1">
      <alignment horizontal="center" vertical="center"/>
    </xf>
    <xf numFmtId="0" fontId="8" fillId="10" borderId="108" xfId="0" applyFont="1" applyFill="1" applyBorder="1" applyAlignment="1">
      <alignment horizontal="center" vertical="center"/>
    </xf>
    <xf numFmtId="0" fontId="8" fillId="10" borderId="110" xfId="0" applyFont="1" applyFill="1" applyBorder="1" applyAlignment="1">
      <alignment horizontal="center" vertical="center" wrapText="1"/>
    </xf>
    <xf numFmtId="0" fontId="8" fillId="10" borderId="111" xfId="0" applyFont="1" applyFill="1" applyBorder="1" applyAlignment="1">
      <alignment horizontal="center" vertical="center" wrapText="1"/>
    </xf>
    <xf numFmtId="0" fontId="8" fillId="10" borderId="109" xfId="0" applyFont="1" applyFill="1" applyBorder="1" applyAlignment="1">
      <alignment horizontal="center" vertical="center"/>
    </xf>
    <xf numFmtId="0" fontId="8" fillId="10" borderId="80" xfId="0" applyFont="1" applyFill="1" applyBorder="1" applyAlignment="1">
      <alignment horizontal="center" vertical="center"/>
    </xf>
    <xf numFmtId="0" fontId="8" fillId="10" borderId="114" xfId="0" applyFont="1" applyFill="1" applyBorder="1" applyAlignment="1">
      <alignment horizontal="center" vertical="center"/>
    </xf>
    <xf numFmtId="0" fontId="8" fillId="10" borderId="115" xfId="0" applyFont="1" applyFill="1" applyBorder="1" applyAlignment="1">
      <alignment horizontal="center" vertical="center"/>
    </xf>
    <xf numFmtId="0" fontId="8" fillId="10" borderId="110" xfId="0" applyFont="1" applyFill="1" applyBorder="1" applyAlignment="1">
      <alignment horizontal="center" vertical="center"/>
    </xf>
    <xf numFmtId="0" fontId="8" fillId="10" borderId="111" xfId="0" applyFont="1" applyFill="1" applyBorder="1" applyAlignment="1">
      <alignment horizontal="center" vertical="center"/>
    </xf>
    <xf numFmtId="0" fontId="0" fillId="10" borderId="84" xfId="0" applyFill="1" applyBorder="1" applyAlignment="1">
      <alignment horizontal="center" vertical="center"/>
    </xf>
    <xf numFmtId="0" fontId="0" fillId="10" borderId="86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EEE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503990</xdr:colOff>
      <xdr:row>18</xdr:row>
      <xdr:rowOff>161459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6676190" cy="37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599228</xdr:colOff>
      <xdr:row>39</xdr:row>
      <xdr:rowOff>209052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0550"/>
          <a:ext cx="6771428" cy="39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9</xdr:col>
      <xdr:colOff>427800</xdr:colOff>
      <xdr:row>62</xdr:row>
      <xdr:rowOff>132809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801100"/>
          <a:ext cx="6600000" cy="43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9</xdr:col>
      <xdr:colOff>523038</xdr:colOff>
      <xdr:row>86</xdr:row>
      <xdr:rowOff>18498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620750"/>
          <a:ext cx="6695238" cy="44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64</xdr:row>
      <xdr:rowOff>38100</xdr:rowOff>
    </xdr:from>
    <xdr:to>
      <xdr:col>18</xdr:col>
      <xdr:colOff>313483</xdr:colOff>
      <xdr:row>83</xdr:row>
      <xdr:rowOff>182394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53225" y="13449300"/>
          <a:ext cx="5904658" cy="4125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9</xdr:col>
      <xdr:colOff>542086</xdr:colOff>
      <xdr:row>107</xdr:row>
      <xdr:rowOff>56645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440400"/>
          <a:ext cx="6714286" cy="40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89</xdr:row>
      <xdr:rowOff>0</xdr:rowOff>
    </xdr:from>
    <xdr:to>
      <xdr:col>21</xdr:col>
      <xdr:colOff>122867</xdr:colOff>
      <xdr:row>96</xdr:row>
      <xdr:rowOff>161721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0" y="18649950"/>
          <a:ext cx="7666667" cy="16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10</xdr:col>
      <xdr:colOff>275333</xdr:colOff>
      <xdr:row>115</xdr:row>
      <xdr:rowOff>95081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2840950"/>
          <a:ext cx="7133333" cy="1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10</xdr:col>
      <xdr:colOff>437238</xdr:colOff>
      <xdr:row>126</xdr:row>
      <xdr:rowOff>114076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4726900"/>
          <a:ext cx="7295238" cy="1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11</xdr:col>
      <xdr:colOff>56200</xdr:colOff>
      <xdr:row>138</xdr:row>
      <xdr:rowOff>66431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7031950"/>
          <a:ext cx="7600000" cy="19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9</xdr:col>
      <xdr:colOff>475419</xdr:colOff>
      <xdr:row>160</xdr:row>
      <xdr:rowOff>161381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9337000"/>
          <a:ext cx="6647619" cy="4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10</xdr:col>
      <xdr:colOff>294381</xdr:colOff>
      <xdr:row>177</xdr:row>
      <xdr:rowOff>104369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3947100"/>
          <a:ext cx="7152381" cy="3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10</xdr:col>
      <xdr:colOff>332476</xdr:colOff>
      <xdr:row>194</xdr:row>
      <xdr:rowOff>28179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7509450"/>
          <a:ext cx="7190476" cy="31714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179</xdr:row>
      <xdr:rowOff>0</xdr:rowOff>
    </xdr:from>
    <xdr:to>
      <xdr:col>21</xdr:col>
      <xdr:colOff>532476</xdr:colOff>
      <xdr:row>194</xdr:row>
      <xdr:rowOff>132940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43800" y="37509450"/>
          <a:ext cx="7390476" cy="3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9</xdr:col>
      <xdr:colOff>456371</xdr:colOff>
      <xdr:row>217</xdr:row>
      <xdr:rowOff>85164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41071800"/>
          <a:ext cx="6628571" cy="4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8"/>
  <sheetViews>
    <sheetView workbookViewId="0">
      <selection activeCell="G20" sqref="G20"/>
    </sheetView>
  </sheetViews>
  <sheetFormatPr defaultRowHeight="16.5" x14ac:dyDescent="0.3"/>
  <cols>
    <col min="1" max="1" width="19.5" style="2" bestFit="1" customWidth="1"/>
    <col min="2" max="3" width="14.25" style="3" bestFit="1" customWidth="1"/>
    <col min="4" max="5" width="12.75" style="3" customWidth="1"/>
    <col min="6" max="6" width="18.125" style="3" bestFit="1" customWidth="1"/>
    <col min="7" max="8" width="12.75" style="3" customWidth="1"/>
    <col min="14" max="14" width="0" hidden="1" customWidth="1"/>
    <col min="15" max="15" width="10.5" style="6" hidden="1" customWidth="1"/>
    <col min="16" max="16" width="10.875" hidden="1" customWidth="1"/>
    <col min="17" max="18" width="0" hidden="1" customWidth="1"/>
  </cols>
  <sheetData>
    <row r="1" spans="1:18" ht="35.1" customHeight="1" x14ac:dyDescent="0.3">
      <c r="A1" s="191" t="s">
        <v>32</v>
      </c>
      <c r="B1" s="191"/>
      <c r="C1" s="191"/>
      <c r="D1" s="191"/>
      <c r="E1" s="191"/>
      <c r="F1" s="192"/>
      <c r="G1" s="192"/>
      <c r="H1" s="192"/>
      <c r="I1" s="192"/>
      <c r="J1" s="192"/>
      <c r="K1" s="192"/>
      <c r="L1" s="192"/>
    </row>
    <row r="2" spans="1:18" ht="35.1" customHeight="1" thickBot="1" x14ac:dyDescent="0.35">
      <c r="A2" s="82" t="s">
        <v>40</v>
      </c>
      <c r="B2" s="101"/>
      <c r="C2" s="101"/>
      <c r="D2" s="101"/>
      <c r="E2" s="101"/>
      <c r="F2" s="101"/>
      <c r="G2" s="101"/>
      <c r="H2" s="101"/>
    </row>
    <row r="3" spans="1:18" ht="17.45" customHeight="1" x14ac:dyDescent="0.3">
      <c r="A3" s="193" t="s">
        <v>1</v>
      </c>
      <c r="B3" s="195" t="s">
        <v>2</v>
      </c>
      <c r="C3" s="197" t="s">
        <v>33</v>
      </c>
      <c r="D3" s="198"/>
      <c r="E3" s="199" t="s">
        <v>41</v>
      </c>
      <c r="F3" s="193" t="s">
        <v>35</v>
      </c>
      <c r="G3" s="198"/>
      <c r="H3" s="201" t="s">
        <v>36</v>
      </c>
      <c r="I3" s="203" t="s">
        <v>20</v>
      </c>
      <c r="J3" s="205" t="s">
        <v>21</v>
      </c>
      <c r="K3" s="207" t="s">
        <v>22</v>
      </c>
      <c r="L3" s="189" t="s">
        <v>31</v>
      </c>
      <c r="M3" s="10"/>
    </row>
    <row r="4" spans="1:18" ht="17.45" customHeight="1" thickBot="1" x14ac:dyDescent="0.35">
      <c r="A4" s="194"/>
      <c r="B4" s="196"/>
      <c r="C4" s="26" t="s">
        <v>38</v>
      </c>
      <c r="D4" s="27" t="s">
        <v>34</v>
      </c>
      <c r="E4" s="200"/>
      <c r="F4" s="34" t="s">
        <v>37</v>
      </c>
      <c r="G4" s="35" t="s">
        <v>39</v>
      </c>
      <c r="H4" s="202"/>
      <c r="I4" s="204"/>
      <c r="J4" s="206"/>
      <c r="K4" s="208"/>
      <c r="L4" s="190"/>
      <c r="M4" s="10"/>
    </row>
    <row r="5" spans="1:18" ht="21" customHeight="1" thickTop="1" x14ac:dyDescent="0.3">
      <c r="A5" s="18" t="s">
        <v>0</v>
      </c>
      <c r="B5" s="22">
        <v>45000000</v>
      </c>
      <c r="C5" s="28">
        <v>44892870</v>
      </c>
      <c r="D5" s="29">
        <f>SUM(C5/C23*100)</f>
        <v>4.1364158993039197</v>
      </c>
      <c r="E5" s="96">
        <v>1129910</v>
      </c>
      <c r="F5" s="36">
        <v>33740500</v>
      </c>
      <c r="G5" s="29">
        <f>SUM(F5/F23*100)</f>
        <v>3.4139007571334838</v>
      </c>
      <c r="H5" s="39">
        <f t="shared" ref="H5:H22" si="0">SUM(F5-C5)</f>
        <v>-11152370</v>
      </c>
      <c r="I5" s="19">
        <v>673</v>
      </c>
      <c r="J5" s="43">
        <v>85</v>
      </c>
      <c r="K5" s="39">
        <f>SUM(I5:J5)</f>
        <v>758</v>
      </c>
      <c r="L5" s="47">
        <f>SUM(F5/C5*100)</f>
        <v>75.157814592829553</v>
      </c>
      <c r="M5" s="9"/>
      <c r="N5" s="4" t="s">
        <v>24</v>
      </c>
      <c r="O5" s="5">
        <v>8526000</v>
      </c>
      <c r="P5" s="4">
        <v>546</v>
      </c>
      <c r="Q5" s="4">
        <v>26</v>
      </c>
      <c r="R5" s="4">
        <f>SUM(P5:Q5)</f>
        <v>572</v>
      </c>
    </row>
    <row r="6" spans="1:18" ht="21" customHeight="1" thickBot="1" x14ac:dyDescent="0.35">
      <c r="A6" s="16" t="s">
        <v>3</v>
      </c>
      <c r="B6" s="23">
        <v>34000000</v>
      </c>
      <c r="C6" s="30">
        <v>32894700</v>
      </c>
      <c r="D6" s="31">
        <f>SUM(C6/C23*100)</f>
        <v>3.030908027997155</v>
      </c>
      <c r="E6" s="94">
        <v>1242387</v>
      </c>
      <c r="F6" s="37">
        <f>SUM(O9)</f>
        <v>41468000</v>
      </c>
      <c r="G6" s="31">
        <f>SUM(F6/F23*100)</f>
        <v>4.195777673621059</v>
      </c>
      <c r="H6" s="78">
        <f t="shared" si="0"/>
        <v>8573300</v>
      </c>
      <c r="I6" s="20">
        <f>SUM(P9)</f>
        <v>2876</v>
      </c>
      <c r="J6" s="44">
        <f>SUM(Q9)</f>
        <v>84</v>
      </c>
      <c r="K6" s="40">
        <f t="shared" ref="K6:K22" si="1">SUM(I6:J6)</f>
        <v>2960</v>
      </c>
      <c r="L6" s="48">
        <f t="shared" ref="L6:L22" si="2">SUM(F6/C6*100)</f>
        <v>126.06286119040453</v>
      </c>
      <c r="M6" s="9"/>
      <c r="N6" s="4" t="s">
        <v>25</v>
      </c>
      <c r="O6" s="5">
        <v>10045500</v>
      </c>
      <c r="P6" s="4">
        <v>691</v>
      </c>
      <c r="Q6" s="4">
        <v>32</v>
      </c>
      <c r="R6" s="4">
        <f t="shared" ref="R6:R8" si="3">SUM(P6:Q6)</f>
        <v>723</v>
      </c>
    </row>
    <row r="7" spans="1:18" ht="21" customHeight="1" thickBot="1" x14ac:dyDescent="0.35">
      <c r="A7" s="16" t="s">
        <v>4</v>
      </c>
      <c r="B7" s="24">
        <v>60000000</v>
      </c>
      <c r="C7" s="32">
        <v>51773990</v>
      </c>
      <c r="D7" s="33">
        <f>SUM(C7/C23*100)</f>
        <v>4.7704402816394254</v>
      </c>
      <c r="E7" s="91">
        <v>535964</v>
      </c>
      <c r="F7" s="63">
        <v>15940000</v>
      </c>
      <c r="G7" s="77">
        <f>SUM(F7/F23*100)</f>
        <v>1.612826664356122</v>
      </c>
      <c r="H7" s="81">
        <f t="shared" si="0"/>
        <v>-35833990</v>
      </c>
      <c r="I7" s="21">
        <v>553</v>
      </c>
      <c r="J7" s="45">
        <v>44</v>
      </c>
      <c r="K7" s="41">
        <f t="shared" si="1"/>
        <v>597</v>
      </c>
      <c r="L7" s="49">
        <f t="shared" si="2"/>
        <v>30.787659981392203</v>
      </c>
      <c r="M7" s="9"/>
      <c r="N7" s="4" t="s">
        <v>26</v>
      </c>
      <c r="O7" s="5">
        <v>9974000</v>
      </c>
      <c r="P7" s="4">
        <v>718</v>
      </c>
      <c r="Q7" s="4">
        <v>10</v>
      </c>
      <c r="R7" s="4">
        <f t="shared" si="3"/>
        <v>728</v>
      </c>
    </row>
    <row r="8" spans="1:18" ht="21" customHeight="1" thickBot="1" x14ac:dyDescent="0.35">
      <c r="A8" s="16" t="s">
        <v>5</v>
      </c>
      <c r="B8" s="23">
        <v>40000000</v>
      </c>
      <c r="C8" s="54">
        <v>28992700</v>
      </c>
      <c r="D8" s="62">
        <f>SUM(C8/C23*100)</f>
        <v>2.6713788903170759</v>
      </c>
      <c r="E8" s="93">
        <v>318769</v>
      </c>
      <c r="F8" s="70">
        <v>9468000</v>
      </c>
      <c r="G8" s="71">
        <f>SUM(F8/F23*100)</f>
        <v>0.95798261343310942</v>
      </c>
      <c r="H8" s="80">
        <f t="shared" si="0"/>
        <v>-19524700</v>
      </c>
      <c r="I8" s="20">
        <v>173</v>
      </c>
      <c r="J8" s="44">
        <v>125</v>
      </c>
      <c r="K8" s="40">
        <f t="shared" si="1"/>
        <v>298</v>
      </c>
      <c r="L8" s="48">
        <f t="shared" si="2"/>
        <v>32.656496290445524</v>
      </c>
      <c r="M8" s="9"/>
      <c r="N8" s="4" t="s">
        <v>27</v>
      </c>
      <c r="O8" s="5">
        <v>12922500</v>
      </c>
      <c r="P8" s="4">
        <v>921</v>
      </c>
      <c r="Q8" s="4">
        <v>16</v>
      </c>
      <c r="R8" s="4">
        <f t="shared" si="3"/>
        <v>937</v>
      </c>
    </row>
    <row r="9" spans="1:18" ht="21" customHeight="1" thickBot="1" x14ac:dyDescent="0.35">
      <c r="A9" s="16" t="s">
        <v>6</v>
      </c>
      <c r="B9" s="12">
        <v>151000000</v>
      </c>
      <c r="C9" s="67">
        <v>150587560</v>
      </c>
      <c r="D9" s="68">
        <f>SUM(C9/C23*100)</f>
        <v>13.875093693528234</v>
      </c>
      <c r="E9" s="95">
        <v>451583</v>
      </c>
      <c r="F9" s="75">
        <f>SUM(O15:O16)</f>
        <v>13550000</v>
      </c>
      <c r="G9" s="76">
        <f>SUM(F9/F23*100)</f>
        <v>1.3710038457983347</v>
      </c>
      <c r="H9" s="81">
        <f t="shared" si="0"/>
        <v>-137037560</v>
      </c>
      <c r="I9" s="21">
        <f>SUM(P15:P16)</f>
        <v>473</v>
      </c>
      <c r="J9" s="45">
        <f>SUM(Q15:Q16)</f>
        <v>418</v>
      </c>
      <c r="K9" s="41">
        <f t="shared" si="1"/>
        <v>891</v>
      </c>
      <c r="L9" s="49">
        <f t="shared" si="2"/>
        <v>8.9980872257974038</v>
      </c>
      <c r="M9" s="9"/>
      <c r="N9" s="4"/>
      <c r="O9" s="5">
        <f>SUM(O5:O8)</f>
        <v>41468000</v>
      </c>
      <c r="P9" s="5">
        <f t="shared" ref="P9:R9" si="4">SUM(P5:P8)</f>
        <v>2876</v>
      </c>
      <c r="Q9" s="5">
        <f t="shared" si="4"/>
        <v>84</v>
      </c>
      <c r="R9" s="5">
        <f t="shared" si="4"/>
        <v>2960</v>
      </c>
    </row>
    <row r="10" spans="1:18" ht="21" customHeight="1" thickBot="1" x14ac:dyDescent="0.35">
      <c r="A10" s="16" t="s">
        <v>7</v>
      </c>
      <c r="B10" s="23">
        <v>70000000</v>
      </c>
      <c r="C10" s="55">
        <v>68256930</v>
      </c>
      <c r="D10" s="61">
        <f>SUM(C10/C23*100)</f>
        <v>6.2891735478189448</v>
      </c>
      <c r="E10" s="88">
        <v>4558092</v>
      </c>
      <c r="F10" s="67">
        <v>131748000</v>
      </c>
      <c r="G10" s="69">
        <f>SUM(F10/F23*100)</f>
        <v>13.33040698717631</v>
      </c>
      <c r="H10" s="86">
        <f t="shared" si="0"/>
        <v>63491070</v>
      </c>
      <c r="I10" s="20">
        <v>3622</v>
      </c>
      <c r="J10" s="44">
        <v>139</v>
      </c>
      <c r="K10" s="40">
        <f t="shared" si="1"/>
        <v>3761</v>
      </c>
      <c r="L10" s="48">
        <f t="shared" si="2"/>
        <v>193.01776391056555</v>
      </c>
      <c r="M10" s="9"/>
      <c r="N10" s="4"/>
      <c r="O10" s="5"/>
      <c r="P10" s="4"/>
      <c r="Q10" s="4"/>
      <c r="R10" s="4"/>
    </row>
    <row r="11" spans="1:18" ht="21" customHeight="1" thickBot="1" x14ac:dyDescent="0.35">
      <c r="A11" s="16" t="s">
        <v>8</v>
      </c>
      <c r="B11" s="24">
        <v>30000000</v>
      </c>
      <c r="C11" s="52">
        <v>28973480</v>
      </c>
      <c r="D11" s="53">
        <f>SUM(C11/C23*100)</f>
        <v>2.6696079651437774</v>
      </c>
      <c r="E11" s="91">
        <v>1212090</v>
      </c>
      <c r="F11" s="64">
        <v>36117000</v>
      </c>
      <c r="G11" s="65">
        <f>SUM(F11/F23*100)</f>
        <v>3.6543576309002548</v>
      </c>
      <c r="H11" s="84">
        <f t="shared" si="0"/>
        <v>7143520</v>
      </c>
      <c r="I11" s="21">
        <v>2378</v>
      </c>
      <c r="J11" s="45">
        <v>90</v>
      </c>
      <c r="K11" s="41">
        <f t="shared" si="1"/>
        <v>2468</v>
      </c>
      <c r="L11" s="49">
        <f t="shared" si="2"/>
        <v>124.65537450109549</v>
      </c>
      <c r="M11" s="9"/>
      <c r="N11" s="4"/>
      <c r="O11" s="5"/>
      <c r="P11" s="4"/>
      <c r="Q11" s="4"/>
      <c r="R11" s="4"/>
    </row>
    <row r="12" spans="1:18" ht="21" customHeight="1" thickBot="1" x14ac:dyDescent="0.35">
      <c r="A12" s="16" t="s">
        <v>9</v>
      </c>
      <c r="B12" s="14">
        <v>180000000</v>
      </c>
      <c r="C12" s="67">
        <v>176970150</v>
      </c>
      <c r="D12" s="69">
        <f>SUM(C12/C23*100)</f>
        <v>16.305977812561316</v>
      </c>
      <c r="E12" s="90">
        <v>9480067</v>
      </c>
      <c r="F12" s="67">
        <v>245311000</v>
      </c>
      <c r="G12" s="69">
        <f>SUM(F12/F23*100)</f>
        <v>24.820835750305186</v>
      </c>
      <c r="H12" s="85">
        <f t="shared" si="0"/>
        <v>68340850</v>
      </c>
      <c r="I12" s="20">
        <v>3634</v>
      </c>
      <c r="J12" s="44">
        <v>63</v>
      </c>
      <c r="K12" s="40">
        <f t="shared" si="1"/>
        <v>3697</v>
      </c>
      <c r="L12" s="48">
        <f t="shared" si="2"/>
        <v>138.61716227284657</v>
      </c>
      <c r="M12" s="9"/>
      <c r="N12" s="4" t="s">
        <v>23</v>
      </c>
      <c r="O12" s="5">
        <v>4532000</v>
      </c>
      <c r="P12" s="7">
        <v>273</v>
      </c>
      <c r="Q12" s="4">
        <v>180</v>
      </c>
      <c r="R12" s="8">
        <f>SUM(P12:Q12)</f>
        <v>453</v>
      </c>
    </row>
    <row r="13" spans="1:18" ht="21" customHeight="1" thickBot="1" x14ac:dyDescent="0.35">
      <c r="A13" s="16" t="s">
        <v>10</v>
      </c>
      <c r="B13" s="12">
        <v>180000000</v>
      </c>
      <c r="C13" s="67">
        <v>170405940</v>
      </c>
      <c r="D13" s="68">
        <f>SUM(C13/C23*100)</f>
        <v>15.701153424849643</v>
      </c>
      <c r="E13" s="97">
        <v>5374633</v>
      </c>
      <c r="F13" s="67">
        <v>143195000</v>
      </c>
      <c r="G13" s="68">
        <f>SUM(F13/F23*100)</f>
        <v>14.488626988862919</v>
      </c>
      <c r="H13" s="47">
        <f t="shared" si="0"/>
        <v>-27210940</v>
      </c>
      <c r="I13" s="21">
        <v>2149</v>
      </c>
      <c r="J13" s="45">
        <v>69</v>
      </c>
      <c r="K13" s="41">
        <f t="shared" si="1"/>
        <v>2218</v>
      </c>
      <c r="L13" s="49">
        <f t="shared" si="2"/>
        <v>84.031695139265679</v>
      </c>
      <c r="M13" s="9"/>
      <c r="N13" s="4" t="s">
        <v>28</v>
      </c>
      <c r="O13" s="5">
        <v>5000000</v>
      </c>
      <c r="P13" s="4">
        <v>548</v>
      </c>
      <c r="Q13" s="4">
        <v>9</v>
      </c>
      <c r="R13" s="8">
        <f>SUM(P13:Q13)</f>
        <v>557</v>
      </c>
    </row>
    <row r="14" spans="1:18" ht="21" customHeight="1" x14ac:dyDescent="0.3">
      <c r="A14" s="16" t="s">
        <v>11</v>
      </c>
      <c r="B14" s="23">
        <v>50000000</v>
      </c>
      <c r="C14" s="55">
        <v>43870530</v>
      </c>
      <c r="D14" s="56">
        <f>SUM(C14/C23*100)</f>
        <v>4.042217790996423</v>
      </c>
      <c r="E14" s="94">
        <v>2370566</v>
      </c>
      <c r="F14" s="66">
        <v>70896000</v>
      </c>
      <c r="G14" s="56">
        <f>SUM(F14/F23*100)</f>
        <v>7.1733349558464017</v>
      </c>
      <c r="H14" s="40">
        <f t="shared" si="0"/>
        <v>27025470</v>
      </c>
      <c r="I14" s="20">
        <v>2244</v>
      </c>
      <c r="J14" s="44">
        <v>92</v>
      </c>
      <c r="K14" s="40">
        <f t="shared" si="1"/>
        <v>2336</v>
      </c>
      <c r="L14" s="48">
        <f t="shared" si="2"/>
        <v>161.60278893371017</v>
      </c>
      <c r="M14" s="9"/>
      <c r="N14" s="4"/>
      <c r="O14" s="5"/>
      <c r="P14" s="4"/>
      <c r="Q14" s="4"/>
      <c r="R14" s="8"/>
    </row>
    <row r="15" spans="1:18" ht="21" customHeight="1" thickBot="1" x14ac:dyDescent="0.35">
      <c r="A15" s="16" t="s">
        <v>42</v>
      </c>
      <c r="B15" s="24">
        <v>60000000</v>
      </c>
      <c r="C15" s="32">
        <v>43488000</v>
      </c>
      <c r="D15" s="33">
        <f>SUM(C15/C23*100)</f>
        <v>4.0069715887830037</v>
      </c>
      <c r="E15" s="91">
        <v>2059704</v>
      </c>
      <c r="F15" s="63">
        <v>54097450</v>
      </c>
      <c r="G15" s="53">
        <f>SUM(F15/F23*100)</f>
        <v>5.473639261836392</v>
      </c>
      <c r="H15" s="83">
        <f t="shared" si="0"/>
        <v>10609450</v>
      </c>
      <c r="I15" s="21">
        <v>1846</v>
      </c>
      <c r="J15" s="45">
        <v>18</v>
      </c>
      <c r="K15" s="41">
        <f t="shared" si="1"/>
        <v>1864</v>
      </c>
      <c r="L15" s="49">
        <f t="shared" si="2"/>
        <v>124.39627023546727</v>
      </c>
      <c r="M15" s="9"/>
      <c r="N15" s="4" t="s">
        <v>29</v>
      </c>
      <c r="O15" s="5">
        <v>9331000</v>
      </c>
      <c r="P15" s="4">
        <v>333</v>
      </c>
      <c r="Q15" s="4">
        <v>346</v>
      </c>
      <c r="R15" s="8">
        <f t="shared" ref="R15:R16" si="5">SUM(P15:Q15)</f>
        <v>679</v>
      </c>
    </row>
    <row r="16" spans="1:18" ht="21" customHeight="1" thickBot="1" x14ac:dyDescent="0.35">
      <c r="A16" s="16" t="s">
        <v>12</v>
      </c>
      <c r="B16" s="23">
        <v>50000000</v>
      </c>
      <c r="C16" s="54">
        <v>47227000</v>
      </c>
      <c r="D16" s="62">
        <f>SUM(C16/C23*100)</f>
        <v>4.3514819541817271</v>
      </c>
      <c r="E16" s="98">
        <v>3814966</v>
      </c>
      <c r="F16" s="73">
        <v>115006500</v>
      </c>
      <c r="G16" s="62">
        <f>SUM(F16/F23*100)</f>
        <v>11.636483674672043</v>
      </c>
      <c r="H16" s="85">
        <f t="shared" si="0"/>
        <v>67779500</v>
      </c>
      <c r="I16" s="20">
        <v>3467</v>
      </c>
      <c r="J16" s="44">
        <v>50</v>
      </c>
      <c r="K16" s="40">
        <f t="shared" si="1"/>
        <v>3517</v>
      </c>
      <c r="L16" s="48">
        <f t="shared" si="2"/>
        <v>243.51853812437804</v>
      </c>
      <c r="M16" s="9"/>
      <c r="N16" s="4" t="s">
        <v>30</v>
      </c>
      <c r="O16" s="5">
        <v>4219000</v>
      </c>
      <c r="P16" s="4">
        <v>140</v>
      </c>
      <c r="Q16" s="4">
        <v>72</v>
      </c>
      <c r="R16" s="8">
        <f t="shared" si="5"/>
        <v>212</v>
      </c>
    </row>
    <row r="17" spans="1:18" ht="21" customHeight="1" thickBot="1" x14ac:dyDescent="0.35">
      <c r="A17" s="16" t="s">
        <v>13</v>
      </c>
      <c r="B17" s="12">
        <v>20000000</v>
      </c>
      <c r="C17" s="70">
        <v>15971820</v>
      </c>
      <c r="D17" s="72">
        <f>SUM(C17/C23*100)</f>
        <v>1.4716388190111331</v>
      </c>
      <c r="E17" s="92">
        <v>563684</v>
      </c>
      <c r="F17" s="70">
        <v>9772464</v>
      </c>
      <c r="G17" s="71">
        <f>SUM(F17/F23*100)</f>
        <v>0.98878861453326772</v>
      </c>
      <c r="H17" s="47">
        <f t="shared" si="0"/>
        <v>-6199356</v>
      </c>
      <c r="I17" s="21">
        <f>SUM(P12:P13)</f>
        <v>821</v>
      </c>
      <c r="J17" s="45">
        <f>SUM(Q12:Q13)</f>
        <v>189</v>
      </c>
      <c r="K17" s="41">
        <f t="shared" si="1"/>
        <v>1010</v>
      </c>
      <c r="L17" s="49">
        <f t="shared" si="2"/>
        <v>61.185663249398004</v>
      </c>
      <c r="M17" s="9"/>
      <c r="N17" s="4"/>
      <c r="O17" s="5"/>
      <c r="P17" s="4"/>
      <c r="Q17" s="4"/>
      <c r="R17" s="4"/>
    </row>
    <row r="18" spans="1:18" ht="21" customHeight="1" thickBot="1" x14ac:dyDescent="0.35">
      <c r="A18" s="16" t="s">
        <v>14</v>
      </c>
      <c r="B18" s="23">
        <v>60000000</v>
      </c>
      <c r="C18" s="59">
        <v>60000000</v>
      </c>
      <c r="D18" s="60">
        <f>SUM(C18/C23*100)</f>
        <v>5.5283824348551374</v>
      </c>
      <c r="E18" s="15">
        <v>0</v>
      </c>
      <c r="F18" s="66"/>
      <c r="G18" s="56">
        <f>SUM(F18/F23*100)</f>
        <v>0</v>
      </c>
      <c r="H18" s="40">
        <f t="shared" si="0"/>
        <v>-60000000</v>
      </c>
      <c r="I18" s="20"/>
      <c r="J18" s="44"/>
      <c r="K18" s="40">
        <f t="shared" si="1"/>
        <v>0</v>
      </c>
      <c r="L18" s="48">
        <f t="shared" si="2"/>
        <v>0</v>
      </c>
      <c r="M18" s="9"/>
      <c r="N18" s="4"/>
      <c r="O18" s="5"/>
      <c r="P18" s="4"/>
      <c r="Q18" s="4"/>
      <c r="R18" s="4"/>
    </row>
    <row r="19" spans="1:18" ht="21" customHeight="1" thickBot="1" x14ac:dyDescent="0.35">
      <c r="A19" s="16" t="s">
        <v>15</v>
      </c>
      <c r="B19" s="12">
        <v>26000000</v>
      </c>
      <c r="C19" s="70">
        <v>24069815</v>
      </c>
      <c r="D19" s="71">
        <f>SUM(C19/C23*100)</f>
        <v>2.2177857076035457</v>
      </c>
      <c r="E19" s="92">
        <v>1297730</v>
      </c>
      <c r="F19" s="21">
        <v>34694000</v>
      </c>
      <c r="G19" s="33">
        <f>SUM(F19/F23*100)</f>
        <v>3.5103769318175222</v>
      </c>
      <c r="H19" s="41">
        <f t="shared" si="0"/>
        <v>10624185</v>
      </c>
      <c r="I19" s="21">
        <v>1748</v>
      </c>
      <c r="J19" s="45">
        <v>53</v>
      </c>
      <c r="K19" s="41">
        <f t="shared" si="1"/>
        <v>1801</v>
      </c>
      <c r="L19" s="49">
        <f t="shared" si="2"/>
        <v>144.13903887503915</v>
      </c>
      <c r="M19" s="9"/>
      <c r="N19" s="4"/>
      <c r="O19" s="5"/>
      <c r="P19" s="4"/>
      <c r="Q19" s="4"/>
      <c r="R19" s="4"/>
    </row>
    <row r="20" spans="1:18" ht="21" customHeight="1" thickBot="1" x14ac:dyDescent="0.35">
      <c r="A20" s="16" t="s">
        <v>16</v>
      </c>
      <c r="B20" s="23">
        <v>39000000</v>
      </c>
      <c r="C20" s="55">
        <v>38496245</v>
      </c>
      <c r="D20" s="56">
        <f>SUM(C20/C23*100)</f>
        <v>3.5470327444313319</v>
      </c>
      <c r="E20" s="94">
        <v>420255</v>
      </c>
      <c r="F20" s="37">
        <v>12270000</v>
      </c>
      <c r="G20" s="31">
        <f>SUM(F20/F23*100)</f>
        <v>1.2414920433908168</v>
      </c>
      <c r="H20" s="78">
        <f t="shared" si="0"/>
        <v>-26226245</v>
      </c>
      <c r="I20" s="20">
        <v>285</v>
      </c>
      <c r="J20" s="44">
        <v>98</v>
      </c>
      <c r="K20" s="40">
        <f t="shared" si="1"/>
        <v>383</v>
      </c>
      <c r="L20" s="48">
        <f t="shared" si="2"/>
        <v>31.873238545733486</v>
      </c>
      <c r="M20" s="9"/>
      <c r="N20" s="4"/>
      <c r="O20" s="5"/>
      <c r="P20" s="4"/>
      <c r="Q20" s="4"/>
      <c r="R20" s="4"/>
    </row>
    <row r="21" spans="1:18" ht="21" customHeight="1" thickBot="1" x14ac:dyDescent="0.35">
      <c r="A21" s="16" t="s">
        <v>17</v>
      </c>
      <c r="B21" s="24">
        <v>49000000</v>
      </c>
      <c r="C21" s="52">
        <v>47859709</v>
      </c>
      <c r="D21" s="53">
        <f>SUM(C21/C23*100)</f>
        <v>4.409779576214639</v>
      </c>
      <c r="E21" s="91">
        <v>620917</v>
      </c>
      <c r="F21" s="63">
        <v>18376000</v>
      </c>
      <c r="G21" s="77">
        <f>SUM(F21/F23*100)</f>
        <v>1.8593038133129298</v>
      </c>
      <c r="H21" s="81">
        <f t="shared" si="0"/>
        <v>-29483709</v>
      </c>
      <c r="I21" s="21">
        <v>339</v>
      </c>
      <c r="J21" s="45">
        <v>67</v>
      </c>
      <c r="K21" s="41">
        <f t="shared" si="1"/>
        <v>406</v>
      </c>
      <c r="L21" s="49">
        <f t="shared" si="2"/>
        <v>38.395553136355261</v>
      </c>
      <c r="M21" s="9"/>
      <c r="N21" s="4"/>
      <c r="O21" s="5"/>
      <c r="P21" s="4"/>
      <c r="Q21" s="4"/>
      <c r="R21" s="4"/>
    </row>
    <row r="22" spans="1:18" ht="21" customHeight="1" thickBot="1" x14ac:dyDescent="0.35">
      <c r="A22" s="16" t="s">
        <v>18</v>
      </c>
      <c r="B22" s="14">
        <v>11000000</v>
      </c>
      <c r="C22" s="70">
        <v>10576980</v>
      </c>
      <c r="D22" s="72">
        <f>SUM(C22/C23*100)</f>
        <v>0.97455984076356816</v>
      </c>
      <c r="E22" s="99">
        <v>71214</v>
      </c>
      <c r="F22" s="70">
        <v>2677000</v>
      </c>
      <c r="G22" s="71">
        <f>SUM(F22/F23*100)</f>
        <v>0.27086179300384811</v>
      </c>
      <c r="H22" s="79">
        <f t="shared" si="0"/>
        <v>-7899980</v>
      </c>
      <c r="I22" s="20">
        <v>151</v>
      </c>
      <c r="J22" s="44">
        <v>18</v>
      </c>
      <c r="K22" s="40">
        <f t="shared" si="1"/>
        <v>169</v>
      </c>
      <c r="L22" s="48">
        <f t="shared" si="2"/>
        <v>25.309681969711583</v>
      </c>
      <c r="M22" s="9"/>
      <c r="N22" s="4"/>
      <c r="O22" s="5"/>
      <c r="P22" s="4"/>
      <c r="Q22" s="4"/>
      <c r="R22" s="4"/>
    </row>
    <row r="23" spans="1:18" ht="21" customHeight="1" thickBot="1" x14ac:dyDescent="0.35">
      <c r="A23" s="17" t="s">
        <v>19</v>
      </c>
      <c r="B23" s="25">
        <f>SUM(B5:B22)</f>
        <v>1155000000</v>
      </c>
      <c r="C23" s="57">
        <f t="shared" ref="C23:K23" si="6">SUM(C5:C22)</f>
        <v>1085308419</v>
      </c>
      <c r="D23" s="58">
        <f t="shared" si="6"/>
        <v>99.999999999999972</v>
      </c>
      <c r="E23" s="87">
        <f t="shared" si="6"/>
        <v>35522531</v>
      </c>
      <c r="F23" s="74">
        <f t="shared" si="6"/>
        <v>988326914</v>
      </c>
      <c r="G23" s="58">
        <f t="shared" si="6"/>
        <v>100</v>
      </c>
      <c r="H23" s="42">
        <f t="shared" si="6"/>
        <v>-96981505</v>
      </c>
      <c r="I23" s="38">
        <f t="shared" si="6"/>
        <v>27432</v>
      </c>
      <c r="J23" s="46">
        <f t="shared" si="6"/>
        <v>1702</v>
      </c>
      <c r="K23" s="51">
        <f t="shared" si="6"/>
        <v>29134</v>
      </c>
      <c r="L23" s="50"/>
      <c r="M23" s="11"/>
      <c r="N23" s="4"/>
      <c r="O23" s="5"/>
      <c r="P23" s="4"/>
      <c r="Q23" s="4"/>
      <c r="R23" s="4"/>
    </row>
    <row r="27" spans="1:18" x14ac:dyDescent="0.3">
      <c r="D27" s="89"/>
      <c r="E27" s="7"/>
    </row>
    <row r="28" spans="1:18" x14ac:dyDescent="0.3">
      <c r="D28" s="7"/>
    </row>
  </sheetData>
  <mergeCells count="11">
    <mergeCell ref="L3:L4"/>
    <mergeCell ref="A1:L1"/>
    <mergeCell ref="A3:A4"/>
    <mergeCell ref="B3:B4"/>
    <mergeCell ref="C3:D3"/>
    <mergeCell ref="E3:E4"/>
    <mergeCell ref="F3:G3"/>
    <mergeCell ref="H3:H4"/>
    <mergeCell ref="I3:I4"/>
    <mergeCell ref="J3:J4"/>
    <mergeCell ref="K3:K4"/>
  </mergeCells>
  <phoneticPr fontId="2" type="noConversion"/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9"/>
  <sheetViews>
    <sheetView tabSelected="1" zoomScale="91" zoomScaleNormal="91" workbookViewId="0">
      <selection activeCell="I13" sqref="I13"/>
    </sheetView>
  </sheetViews>
  <sheetFormatPr defaultRowHeight="16.5" x14ac:dyDescent="0.3"/>
  <cols>
    <col min="1" max="1" width="2.375" customWidth="1"/>
    <col min="2" max="2" width="4.375" customWidth="1"/>
    <col min="3" max="3" width="31.625" style="2" customWidth="1"/>
    <col min="4" max="4" width="11.625" style="2" customWidth="1"/>
    <col min="5" max="5" width="5.5" style="2" bestFit="1" customWidth="1"/>
    <col min="6" max="7" width="12.125" style="3" customWidth="1"/>
    <col min="8" max="8" width="9" style="3" bestFit="1" customWidth="1"/>
    <col min="9" max="9" width="9.75" style="3" bestFit="1" customWidth="1"/>
    <col min="10" max="10" width="11.375" style="3" customWidth="1"/>
    <col min="11" max="11" width="9.5" style="3" bestFit="1" customWidth="1"/>
    <col min="12" max="12" width="10.625" style="3" customWidth="1"/>
    <col min="13" max="13" width="9.375" bestFit="1" customWidth="1"/>
    <col min="14" max="14" width="9.125" bestFit="1" customWidth="1"/>
    <col min="15" max="15" width="9.375" bestFit="1" customWidth="1"/>
    <col min="16" max="16" width="9.125" bestFit="1" customWidth="1"/>
    <col min="17" max="17" width="8" customWidth="1"/>
    <col min="18" max="18" width="0" hidden="1" customWidth="1"/>
    <col min="19" max="19" width="10.5" style="6" hidden="1" customWidth="1"/>
    <col min="20" max="20" width="10.875" hidden="1" customWidth="1"/>
    <col min="21" max="22" width="0" hidden="1" customWidth="1"/>
  </cols>
  <sheetData>
    <row r="2" spans="2:22" ht="35.1" customHeight="1" x14ac:dyDescent="0.3">
      <c r="C2" s="224" t="s">
        <v>32</v>
      </c>
      <c r="D2" s="224"/>
      <c r="E2" s="224"/>
      <c r="F2" s="224"/>
      <c r="G2" s="224"/>
      <c r="H2" s="224"/>
      <c r="I2" s="224"/>
      <c r="J2" s="225"/>
      <c r="K2" s="225"/>
      <c r="L2" s="225"/>
      <c r="M2" s="225"/>
      <c r="N2" s="225"/>
      <c r="O2" s="225"/>
      <c r="P2" s="225"/>
    </row>
    <row r="3" spans="2:22" ht="17.25" thickBot="1" x14ac:dyDescent="0.35">
      <c r="C3" s="82"/>
      <c r="D3" s="82"/>
      <c r="E3" s="82"/>
      <c r="F3" s="1"/>
      <c r="G3" s="1"/>
      <c r="H3" s="1"/>
      <c r="I3" s="13"/>
      <c r="J3" s="1"/>
      <c r="K3" s="13"/>
      <c r="L3" s="13"/>
      <c r="Q3" s="102" t="s">
        <v>53</v>
      </c>
    </row>
    <row r="4" spans="2:22" ht="17.45" customHeight="1" x14ac:dyDescent="0.3">
      <c r="B4" s="217" t="s">
        <v>1</v>
      </c>
      <c r="C4" s="218"/>
      <c r="D4" s="235" t="s">
        <v>56</v>
      </c>
      <c r="E4" s="237" t="s">
        <v>75</v>
      </c>
      <c r="F4" s="228" t="s">
        <v>2</v>
      </c>
      <c r="G4" s="226" t="s">
        <v>33</v>
      </c>
      <c r="H4" s="227"/>
      <c r="I4" s="231" t="s">
        <v>62</v>
      </c>
      <c r="J4" s="230" t="s">
        <v>35</v>
      </c>
      <c r="K4" s="227"/>
      <c r="L4" s="231" t="s">
        <v>36</v>
      </c>
      <c r="M4" s="230" t="s">
        <v>55</v>
      </c>
      <c r="N4" s="233"/>
      <c r="O4" s="234"/>
      <c r="P4" s="215" t="s">
        <v>63</v>
      </c>
      <c r="Q4" s="215" t="s">
        <v>63</v>
      </c>
    </row>
    <row r="5" spans="2:22" ht="17.45" customHeight="1" thickBot="1" x14ac:dyDescent="0.35">
      <c r="B5" s="219"/>
      <c r="C5" s="220"/>
      <c r="D5" s="236"/>
      <c r="E5" s="238"/>
      <c r="F5" s="229"/>
      <c r="G5" s="115" t="s">
        <v>38</v>
      </c>
      <c r="H5" s="116" t="s">
        <v>54</v>
      </c>
      <c r="I5" s="232"/>
      <c r="J5" s="153" t="s">
        <v>64</v>
      </c>
      <c r="K5" s="116" t="s">
        <v>54</v>
      </c>
      <c r="L5" s="232"/>
      <c r="M5" s="155" t="s">
        <v>20</v>
      </c>
      <c r="N5" s="115" t="s">
        <v>21</v>
      </c>
      <c r="O5" s="156" t="s">
        <v>22</v>
      </c>
      <c r="P5" s="216"/>
      <c r="Q5" s="216"/>
      <c r="R5" s="185"/>
    </row>
    <row r="6" spans="2:22" ht="23.1" customHeight="1" x14ac:dyDescent="0.3">
      <c r="B6" s="212" t="s">
        <v>76</v>
      </c>
      <c r="C6" s="117" t="s">
        <v>0</v>
      </c>
      <c r="D6" s="118" t="s">
        <v>57</v>
      </c>
      <c r="E6" s="140">
        <v>1</v>
      </c>
      <c r="F6" s="144">
        <v>45000000</v>
      </c>
      <c r="G6" s="119">
        <v>44892870</v>
      </c>
      <c r="H6" s="120">
        <f>SUM(G6/G24*100)</f>
        <v>4.1364158993039197</v>
      </c>
      <c r="I6" s="145">
        <v>1129910</v>
      </c>
      <c r="J6" s="144">
        <v>33740500</v>
      </c>
      <c r="K6" s="120">
        <f>SUM(J6/J24*100)</f>
        <v>3.4139007571334838</v>
      </c>
      <c r="L6" s="145">
        <f t="shared" ref="L6:L21" si="0">SUM(J6-G6)</f>
        <v>-11152370</v>
      </c>
      <c r="M6" s="157">
        <v>673</v>
      </c>
      <c r="N6" s="121">
        <v>85</v>
      </c>
      <c r="O6" s="158">
        <f>SUM(M6:N6)</f>
        <v>758</v>
      </c>
      <c r="P6" s="122">
        <f>J6/(G6+I6)*100</f>
        <v>73.312607365309091</v>
      </c>
      <c r="Q6" s="209">
        <f>Q26</f>
        <v>40.632769291185888</v>
      </c>
      <c r="R6" s="186" t="s">
        <v>24</v>
      </c>
      <c r="S6" s="5">
        <v>8526000</v>
      </c>
      <c r="T6" s="4">
        <v>546</v>
      </c>
      <c r="U6" s="4">
        <v>26</v>
      </c>
      <c r="V6" s="4">
        <f>SUM(T6:U6)</f>
        <v>572</v>
      </c>
    </row>
    <row r="7" spans="2:22" ht="23.1" customHeight="1" x14ac:dyDescent="0.3">
      <c r="B7" s="213"/>
      <c r="C7" s="111" t="s">
        <v>65</v>
      </c>
      <c r="D7" s="110" t="s">
        <v>68</v>
      </c>
      <c r="E7" s="141">
        <v>4</v>
      </c>
      <c r="F7" s="146">
        <v>34000000</v>
      </c>
      <c r="G7" s="105">
        <v>32894700</v>
      </c>
      <c r="H7" s="104">
        <f>SUM(G7/G24*100)</f>
        <v>3.030908027997155</v>
      </c>
      <c r="I7" s="147">
        <v>1242387</v>
      </c>
      <c r="J7" s="146">
        <f>SUM(S12)</f>
        <v>41468000</v>
      </c>
      <c r="K7" s="104">
        <f>SUM(J7/J24*100)</f>
        <v>4.195777673621059</v>
      </c>
      <c r="L7" s="147">
        <f t="shared" si="0"/>
        <v>8573300</v>
      </c>
      <c r="M7" s="159">
        <f>SUM(T12)</f>
        <v>2876</v>
      </c>
      <c r="N7" s="103">
        <f>SUM(U12)</f>
        <v>84</v>
      </c>
      <c r="O7" s="160">
        <f t="shared" ref="O7:O21" si="1">SUM(M7:N7)</f>
        <v>2960</v>
      </c>
      <c r="P7" s="137">
        <f t="shared" ref="P7:P24" si="2">J7/(G7+I7)*100</f>
        <v>121.47492256735322</v>
      </c>
      <c r="Q7" s="210"/>
      <c r="R7" s="186" t="s">
        <v>25</v>
      </c>
      <c r="S7" s="5">
        <v>10045500</v>
      </c>
      <c r="T7" s="4">
        <v>691</v>
      </c>
      <c r="U7" s="4">
        <v>32</v>
      </c>
      <c r="V7" s="4">
        <f t="shared" ref="V7:V11" si="3">SUM(T7:U7)</f>
        <v>723</v>
      </c>
    </row>
    <row r="8" spans="2:22" ht="23.1" customHeight="1" x14ac:dyDescent="0.3">
      <c r="B8" s="213"/>
      <c r="C8" s="109" t="s">
        <v>93</v>
      </c>
      <c r="D8" s="110" t="s">
        <v>66</v>
      </c>
      <c r="E8" s="141" t="s">
        <v>88</v>
      </c>
      <c r="F8" s="146">
        <v>60000000</v>
      </c>
      <c r="G8" s="105">
        <v>60000000</v>
      </c>
      <c r="H8" s="104">
        <f>SUM(G8/G24*100)</f>
        <v>5.5283824348551374</v>
      </c>
      <c r="I8" s="147">
        <v>0</v>
      </c>
      <c r="J8" s="146">
        <v>0</v>
      </c>
      <c r="K8" s="104">
        <f>SUM(J8/J24*100)</f>
        <v>0</v>
      </c>
      <c r="L8" s="147">
        <f>SUM(J8-G8)</f>
        <v>-60000000</v>
      </c>
      <c r="M8" s="159"/>
      <c r="N8" s="188" t="s">
        <v>98</v>
      </c>
      <c r="O8" s="161">
        <v>1480</v>
      </c>
      <c r="P8" s="123">
        <f t="shared" si="2"/>
        <v>0</v>
      </c>
      <c r="Q8" s="210"/>
      <c r="R8" s="186"/>
      <c r="S8" s="5"/>
      <c r="T8" s="4"/>
      <c r="U8" s="4"/>
      <c r="V8" s="4"/>
    </row>
    <row r="9" spans="2:22" ht="23.1" customHeight="1" x14ac:dyDescent="0.3">
      <c r="B9" s="213"/>
      <c r="C9" s="109" t="s">
        <v>100</v>
      </c>
      <c r="D9" s="110" t="s">
        <v>74</v>
      </c>
      <c r="E9" s="141" t="s">
        <v>86</v>
      </c>
      <c r="F9" s="146">
        <v>20000000</v>
      </c>
      <c r="G9" s="105">
        <v>15971820</v>
      </c>
      <c r="H9" s="104">
        <f>SUM(G9/G24*100)</f>
        <v>1.4716388190111331</v>
      </c>
      <c r="I9" s="147">
        <v>563684</v>
      </c>
      <c r="J9" s="146">
        <v>9772464</v>
      </c>
      <c r="K9" s="104">
        <f>SUM(J9/J24*100)</f>
        <v>0.98878861453326772</v>
      </c>
      <c r="L9" s="147">
        <f>SUM(J9-G9)</f>
        <v>-6199356</v>
      </c>
      <c r="M9" s="159">
        <f>SUM(T18:T19)</f>
        <v>821</v>
      </c>
      <c r="N9" s="103">
        <f>SUM(U18:U19)</f>
        <v>189</v>
      </c>
      <c r="O9" s="161">
        <f>SUM(M9:N9)</f>
        <v>1010</v>
      </c>
      <c r="P9" s="123">
        <f>J9/(G9+I9)*100</f>
        <v>59.09988591820364</v>
      </c>
      <c r="Q9" s="210"/>
      <c r="R9" s="186"/>
      <c r="S9" s="5"/>
      <c r="T9" s="4"/>
      <c r="U9" s="4"/>
      <c r="V9" s="4"/>
    </row>
    <row r="10" spans="2:22" ht="23.1" customHeight="1" x14ac:dyDescent="0.3">
      <c r="B10" s="213"/>
      <c r="C10" s="174" t="s">
        <v>4</v>
      </c>
      <c r="D10" s="114" t="s">
        <v>67</v>
      </c>
      <c r="E10" s="175" t="s">
        <v>87</v>
      </c>
      <c r="F10" s="176">
        <v>60000000</v>
      </c>
      <c r="G10" s="106">
        <v>51773990</v>
      </c>
      <c r="H10" s="107">
        <f>SUM(G10/G24*100)</f>
        <v>4.7704402816394254</v>
      </c>
      <c r="I10" s="177">
        <v>535964</v>
      </c>
      <c r="J10" s="181">
        <v>15940000</v>
      </c>
      <c r="K10" s="182">
        <f>SUM(J10/J24*100)</f>
        <v>1.612826664356122</v>
      </c>
      <c r="L10" s="183">
        <f t="shared" si="0"/>
        <v>-35833990</v>
      </c>
      <c r="M10" s="178">
        <v>553</v>
      </c>
      <c r="N10" s="108">
        <v>44</v>
      </c>
      <c r="O10" s="179">
        <f t="shared" si="1"/>
        <v>597</v>
      </c>
      <c r="P10" s="184">
        <f t="shared" si="2"/>
        <v>30.472211847098929</v>
      </c>
      <c r="Q10" s="210"/>
      <c r="R10" s="186" t="s">
        <v>26</v>
      </c>
      <c r="S10" s="5">
        <v>9974000</v>
      </c>
      <c r="T10" s="4">
        <v>718</v>
      </c>
      <c r="U10" s="4">
        <v>10</v>
      </c>
      <c r="V10" s="4">
        <f t="shared" si="3"/>
        <v>728</v>
      </c>
    </row>
    <row r="11" spans="2:22" ht="23.1" customHeight="1" x14ac:dyDescent="0.3">
      <c r="B11" s="213"/>
      <c r="C11" s="112" t="s">
        <v>71</v>
      </c>
      <c r="D11" s="110" t="s">
        <v>70</v>
      </c>
      <c r="E11" s="141" t="s">
        <v>85</v>
      </c>
      <c r="F11" s="146">
        <v>40000000</v>
      </c>
      <c r="G11" s="105">
        <v>28992700</v>
      </c>
      <c r="H11" s="104">
        <f>SUM(G11/G24*100)</f>
        <v>2.6713788903170759</v>
      </c>
      <c r="I11" s="147">
        <v>318769</v>
      </c>
      <c r="J11" s="146">
        <v>9468000</v>
      </c>
      <c r="K11" s="104">
        <f>SUM(J11/J24*100)</f>
        <v>0.95798261343310942</v>
      </c>
      <c r="L11" s="147">
        <f t="shared" si="0"/>
        <v>-19524700</v>
      </c>
      <c r="M11" s="159">
        <v>173</v>
      </c>
      <c r="N11" s="103">
        <v>125</v>
      </c>
      <c r="O11" s="168">
        <f t="shared" si="1"/>
        <v>298</v>
      </c>
      <c r="P11" s="124">
        <f t="shared" si="2"/>
        <v>32.301349345541155</v>
      </c>
      <c r="Q11" s="210"/>
      <c r="R11" s="186" t="s">
        <v>27</v>
      </c>
      <c r="S11" s="5">
        <v>12922500</v>
      </c>
      <c r="T11" s="4">
        <v>921</v>
      </c>
      <c r="U11" s="4">
        <v>16</v>
      </c>
      <c r="V11" s="4">
        <f t="shared" si="3"/>
        <v>937</v>
      </c>
    </row>
    <row r="12" spans="2:22" ht="23.1" customHeight="1" x14ac:dyDescent="0.3">
      <c r="B12" s="213"/>
      <c r="C12" s="112" t="s">
        <v>72</v>
      </c>
      <c r="D12" s="110" t="s">
        <v>69</v>
      </c>
      <c r="E12" s="141" t="s">
        <v>86</v>
      </c>
      <c r="F12" s="148">
        <v>151000000</v>
      </c>
      <c r="G12" s="138">
        <v>150587560</v>
      </c>
      <c r="H12" s="139">
        <f>SUM(G12/G24*100)</f>
        <v>13.875093693528234</v>
      </c>
      <c r="I12" s="147">
        <v>451583</v>
      </c>
      <c r="J12" s="170">
        <v>13550000</v>
      </c>
      <c r="K12" s="169">
        <f>SUM(J12/J24*100)</f>
        <v>1.3710038457983347</v>
      </c>
      <c r="L12" s="171">
        <f t="shared" si="0"/>
        <v>-137037560</v>
      </c>
      <c r="M12" s="159">
        <f>SUM(원문!I9)</f>
        <v>473</v>
      </c>
      <c r="N12" s="103">
        <f>SUM(원문!J9)</f>
        <v>418</v>
      </c>
      <c r="O12" s="168">
        <f t="shared" si="1"/>
        <v>891</v>
      </c>
      <c r="P12" s="124">
        <f t="shared" si="2"/>
        <v>8.9711843770194069</v>
      </c>
      <c r="Q12" s="210"/>
      <c r="R12" s="186"/>
      <c r="S12" s="5">
        <f>SUM(S6:S11)</f>
        <v>41468000</v>
      </c>
      <c r="T12" s="5">
        <f>SUM(T6:T11)</f>
        <v>2876</v>
      </c>
      <c r="U12" s="5">
        <f>SUM(U6:U11)</f>
        <v>84</v>
      </c>
      <c r="V12" s="5">
        <f>SUM(V6:V11)</f>
        <v>2960</v>
      </c>
    </row>
    <row r="13" spans="2:22" ht="23.1" customHeight="1" x14ac:dyDescent="0.3">
      <c r="B13" s="213"/>
      <c r="C13" s="112" t="s">
        <v>73</v>
      </c>
      <c r="D13" s="110" t="s">
        <v>59</v>
      </c>
      <c r="E13" s="141" t="s">
        <v>85</v>
      </c>
      <c r="F13" s="146">
        <v>49000000</v>
      </c>
      <c r="G13" s="105">
        <v>47859709</v>
      </c>
      <c r="H13" s="104">
        <f>SUM(G13/G24*100)</f>
        <v>4.409779576214639</v>
      </c>
      <c r="I13" s="147">
        <v>620917</v>
      </c>
      <c r="J13" s="146">
        <v>18376000</v>
      </c>
      <c r="K13" s="104">
        <f>SUM(J13/J24*100)</f>
        <v>1.8593038133129298</v>
      </c>
      <c r="L13" s="147">
        <f>SUM(J13-G13)</f>
        <v>-29483709</v>
      </c>
      <c r="M13" s="159">
        <v>339</v>
      </c>
      <c r="N13" s="103">
        <v>67</v>
      </c>
      <c r="O13" s="161">
        <f>SUM(M13:N13)</f>
        <v>406</v>
      </c>
      <c r="P13" s="124">
        <f t="shared" si="2"/>
        <v>37.903800994648876</v>
      </c>
      <c r="Q13" s="210"/>
      <c r="R13" s="186"/>
      <c r="S13" s="5"/>
      <c r="T13" s="4"/>
      <c r="U13" s="4"/>
      <c r="V13" s="4"/>
    </row>
    <row r="14" spans="2:22" ht="23.1" customHeight="1" thickBot="1" x14ac:dyDescent="0.35">
      <c r="B14" s="214"/>
      <c r="C14" s="125" t="s">
        <v>81</v>
      </c>
      <c r="D14" s="126" t="s">
        <v>58</v>
      </c>
      <c r="E14" s="142" t="s">
        <v>87</v>
      </c>
      <c r="F14" s="149">
        <v>60000000</v>
      </c>
      <c r="G14" s="127">
        <v>43488000</v>
      </c>
      <c r="H14" s="128">
        <f>SUM(G14/G24*100)</f>
        <v>4.0069715887830037</v>
      </c>
      <c r="I14" s="150">
        <v>2059704</v>
      </c>
      <c r="J14" s="149">
        <v>54097450</v>
      </c>
      <c r="K14" s="128">
        <f>SUM(J14/J24*100)</f>
        <v>5.473639261836392</v>
      </c>
      <c r="L14" s="150">
        <f>SUM(J14-G14)</f>
        <v>10609450</v>
      </c>
      <c r="M14" s="162">
        <v>1846</v>
      </c>
      <c r="N14" s="129">
        <v>18</v>
      </c>
      <c r="O14" s="163">
        <f>SUM(M14:N14)</f>
        <v>1864</v>
      </c>
      <c r="P14" s="187">
        <f t="shared" si="2"/>
        <v>118.77097032157758</v>
      </c>
      <c r="Q14" s="211"/>
      <c r="R14" s="186" t="s">
        <v>29</v>
      </c>
      <c r="S14" s="5">
        <v>9331000</v>
      </c>
      <c r="T14" s="4">
        <v>333</v>
      </c>
      <c r="U14" s="4">
        <v>346</v>
      </c>
      <c r="V14" s="8">
        <f>SUM(T14:U14)</f>
        <v>679</v>
      </c>
    </row>
    <row r="15" spans="2:22" ht="23.1" customHeight="1" x14ac:dyDescent="0.3">
      <c r="B15" s="213" t="s">
        <v>77</v>
      </c>
      <c r="C15" s="113" t="s">
        <v>95</v>
      </c>
      <c r="D15" s="114" t="s">
        <v>66</v>
      </c>
      <c r="E15" s="175" t="s">
        <v>90</v>
      </c>
      <c r="F15" s="176">
        <v>26000000</v>
      </c>
      <c r="G15" s="106">
        <v>24069815</v>
      </c>
      <c r="H15" s="107">
        <f>SUM(G15/G24*100)</f>
        <v>2.2177857076035457</v>
      </c>
      <c r="I15" s="177">
        <v>1297730</v>
      </c>
      <c r="J15" s="176">
        <v>34694000</v>
      </c>
      <c r="K15" s="107">
        <f>SUM(J15/J24*100)</f>
        <v>3.5103769318175222</v>
      </c>
      <c r="L15" s="177">
        <f>SUM(J15-G15)</f>
        <v>10624185</v>
      </c>
      <c r="M15" s="178">
        <v>1748</v>
      </c>
      <c r="N15" s="108">
        <v>53</v>
      </c>
      <c r="O15" s="179">
        <f>SUM(M15:N15)</f>
        <v>1801</v>
      </c>
      <c r="P15" s="180">
        <f t="shared" si="2"/>
        <v>136.7653038557732</v>
      </c>
      <c r="Q15" s="210">
        <f>Q27</f>
        <v>124.23227245815005</v>
      </c>
      <c r="R15" s="186"/>
      <c r="S15" s="5"/>
      <c r="T15" s="4"/>
      <c r="U15" s="4"/>
      <c r="V15" s="4"/>
    </row>
    <row r="16" spans="2:22" ht="23.1" customHeight="1" x14ac:dyDescent="0.3">
      <c r="B16" s="239"/>
      <c r="C16" s="111" t="s">
        <v>96</v>
      </c>
      <c r="D16" s="110" t="s">
        <v>66</v>
      </c>
      <c r="E16" s="141" t="s">
        <v>89</v>
      </c>
      <c r="F16" s="146">
        <v>70000000</v>
      </c>
      <c r="G16" s="105">
        <v>68256930</v>
      </c>
      <c r="H16" s="104">
        <f>SUM(G16/G24*100)</f>
        <v>6.2891735478189448</v>
      </c>
      <c r="I16" s="147">
        <v>4558092</v>
      </c>
      <c r="J16" s="148">
        <v>131748000</v>
      </c>
      <c r="K16" s="139">
        <f>SUM(J16/J24*100)</f>
        <v>13.33040698717631</v>
      </c>
      <c r="L16" s="154">
        <f t="shared" si="0"/>
        <v>63491070</v>
      </c>
      <c r="M16" s="159">
        <v>3622</v>
      </c>
      <c r="N16" s="103">
        <v>139</v>
      </c>
      <c r="O16" s="160">
        <f t="shared" si="1"/>
        <v>3761</v>
      </c>
      <c r="P16" s="137">
        <f t="shared" si="2"/>
        <v>180.93519219152336</v>
      </c>
      <c r="Q16" s="210"/>
      <c r="R16" s="4"/>
      <c r="S16" s="5"/>
      <c r="T16" s="4"/>
      <c r="U16" s="4"/>
      <c r="V16" s="4"/>
    </row>
    <row r="17" spans="2:22" ht="23.1" customHeight="1" x14ac:dyDescent="0.3">
      <c r="B17" s="239"/>
      <c r="C17" s="111" t="s">
        <v>99</v>
      </c>
      <c r="D17" s="110" t="s">
        <v>61</v>
      </c>
      <c r="E17" s="141" t="s">
        <v>91</v>
      </c>
      <c r="F17" s="146">
        <v>30000000</v>
      </c>
      <c r="G17" s="105">
        <v>28973480</v>
      </c>
      <c r="H17" s="104">
        <f>SUM(G17/G24*100)</f>
        <v>2.6696079651437774</v>
      </c>
      <c r="I17" s="147">
        <v>1212090</v>
      </c>
      <c r="J17" s="146">
        <v>36117000</v>
      </c>
      <c r="K17" s="104">
        <f>SUM(J17/J24*100)</f>
        <v>3.6543576309002548</v>
      </c>
      <c r="L17" s="147">
        <f t="shared" si="0"/>
        <v>7143520</v>
      </c>
      <c r="M17" s="159">
        <v>2378</v>
      </c>
      <c r="N17" s="103">
        <v>90</v>
      </c>
      <c r="O17" s="160">
        <f t="shared" si="1"/>
        <v>2468</v>
      </c>
      <c r="P17" s="137">
        <f t="shared" si="2"/>
        <v>119.64988569041432</v>
      </c>
      <c r="Q17" s="210"/>
      <c r="R17" s="4"/>
      <c r="S17" s="5"/>
      <c r="T17" s="4"/>
      <c r="U17" s="4"/>
      <c r="V17" s="4"/>
    </row>
    <row r="18" spans="2:22" ht="23.1" customHeight="1" x14ac:dyDescent="0.3">
      <c r="B18" s="239"/>
      <c r="C18" s="111" t="s">
        <v>79</v>
      </c>
      <c r="D18" s="110" t="s">
        <v>61</v>
      </c>
      <c r="E18" s="141" t="s">
        <v>83</v>
      </c>
      <c r="F18" s="148">
        <v>180000000</v>
      </c>
      <c r="G18" s="138">
        <v>176970150</v>
      </c>
      <c r="H18" s="139">
        <f>SUM(G18/G24*100)</f>
        <v>16.305977812561316</v>
      </c>
      <c r="I18" s="147">
        <v>9480067</v>
      </c>
      <c r="J18" s="148">
        <v>245311000</v>
      </c>
      <c r="K18" s="139">
        <f>SUM(J18/J24*100)</f>
        <v>24.820835750305186</v>
      </c>
      <c r="L18" s="154">
        <f t="shared" si="0"/>
        <v>68340850</v>
      </c>
      <c r="M18" s="159">
        <v>3634</v>
      </c>
      <c r="N18" s="103">
        <v>63</v>
      </c>
      <c r="O18" s="160">
        <f t="shared" si="1"/>
        <v>3697</v>
      </c>
      <c r="P18" s="137">
        <f t="shared" si="2"/>
        <v>131.56916840702846</v>
      </c>
      <c r="Q18" s="210"/>
      <c r="R18" s="4" t="s">
        <v>23</v>
      </c>
      <c r="S18" s="5">
        <v>4532000</v>
      </c>
      <c r="T18" s="7">
        <v>273</v>
      </c>
      <c r="U18" s="4">
        <v>180</v>
      </c>
      <c r="V18" s="8">
        <f>SUM(T18:U18)</f>
        <v>453</v>
      </c>
    </row>
    <row r="19" spans="2:22" ht="23.1" customHeight="1" x14ac:dyDescent="0.3">
      <c r="B19" s="239"/>
      <c r="C19" s="109" t="s">
        <v>78</v>
      </c>
      <c r="D19" s="110" t="s">
        <v>60</v>
      </c>
      <c r="E19" s="141" t="s">
        <v>84</v>
      </c>
      <c r="F19" s="148">
        <v>180000000</v>
      </c>
      <c r="G19" s="138">
        <v>170405940</v>
      </c>
      <c r="H19" s="139">
        <f>SUM(G19/G24*100)</f>
        <v>15.701153424849643</v>
      </c>
      <c r="I19" s="147">
        <v>5374633</v>
      </c>
      <c r="J19" s="148">
        <v>143195000</v>
      </c>
      <c r="K19" s="139">
        <f>SUM(J19/J24*100)</f>
        <v>14.488626988862919</v>
      </c>
      <c r="L19" s="154">
        <f t="shared" si="0"/>
        <v>-27210940</v>
      </c>
      <c r="M19" s="159">
        <v>2149</v>
      </c>
      <c r="N19" s="103">
        <v>69</v>
      </c>
      <c r="O19" s="160">
        <f t="shared" si="1"/>
        <v>2218</v>
      </c>
      <c r="P19" s="123">
        <f t="shared" si="2"/>
        <v>81.462358186760483</v>
      </c>
      <c r="Q19" s="210"/>
      <c r="R19" s="4" t="s">
        <v>28</v>
      </c>
      <c r="S19" s="5">
        <v>5000000</v>
      </c>
      <c r="T19" s="4">
        <v>548</v>
      </c>
      <c r="U19" s="4">
        <v>9</v>
      </c>
      <c r="V19" s="8">
        <f>SUM(T19:U19)</f>
        <v>557</v>
      </c>
    </row>
    <row r="20" spans="2:22" ht="23.1" customHeight="1" x14ac:dyDescent="0.3">
      <c r="B20" s="239"/>
      <c r="C20" s="111" t="s">
        <v>80</v>
      </c>
      <c r="D20" s="110" t="s">
        <v>60</v>
      </c>
      <c r="E20" s="141" t="s">
        <v>91</v>
      </c>
      <c r="F20" s="146">
        <v>50000000</v>
      </c>
      <c r="G20" s="105">
        <v>43870530</v>
      </c>
      <c r="H20" s="104">
        <f>SUM(G20/G24*100)</f>
        <v>4.042217790996423</v>
      </c>
      <c r="I20" s="147">
        <v>2370566</v>
      </c>
      <c r="J20" s="146">
        <v>70896000</v>
      </c>
      <c r="K20" s="104">
        <f>SUM(J20/J24*100)</f>
        <v>7.1733349558464017</v>
      </c>
      <c r="L20" s="147">
        <f t="shared" si="0"/>
        <v>27025470</v>
      </c>
      <c r="M20" s="159">
        <v>2244</v>
      </c>
      <c r="N20" s="103">
        <v>92</v>
      </c>
      <c r="O20" s="160">
        <f t="shared" si="1"/>
        <v>2336</v>
      </c>
      <c r="P20" s="137">
        <f t="shared" si="2"/>
        <v>153.3181652960821</v>
      </c>
      <c r="Q20" s="210"/>
      <c r="R20" s="4"/>
      <c r="S20" s="5"/>
      <c r="T20" s="4"/>
      <c r="U20" s="4"/>
      <c r="V20" s="8"/>
    </row>
    <row r="21" spans="2:22" ht="23.1" customHeight="1" x14ac:dyDescent="0.3">
      <c r="B21" s="239"/>
      <c r="C21" s="111" t="s">
        <v>97</v>
      </c>
      <c r="D21" s="110" t="s">
        <v>58</v>
      </c>
      <c r="E21" s="141" t="s">
        <v>92</v>
      </c>
      <c r="F21" s="146">
        <v>50000000</v>
      </c>
      <c r="G21" s="105">
        <v>47227000</v>
      </c>
      <c r="H21" s="104">
        <f>SUM(G21/G24*100)</f>
        <v>4.3514819541817271</v>
      </c>
      <c r="I21" s="147">
        <v>3814966</v>
      </c>
      <c r="J21" s="148">
        <v>115006500</v>
      </c>
      <c r="K21" s="139">
        <f>SUM(J21/J24*100)</f>
        <v>11.636483674672043</v>
      </c>
      <c r="L21" s="154">
        <f t="shared" si="0"/>
        <v>67779500</v>
      </c>
      <c r="M21" s="159">
        <v>3467</v>
      </c>
      <c r="N21" s="103">
        <v>50</v>
      </c>
      <c r="O21" s="160">
        <f t="shared" si="1"/>
        <v>3517</v>
      </c>
      <c r="P21" s="137">
        <f t="shared" si="2"/>
        <v>225.31753577046777</v>
      </c>
      <c r="Q21" s="210"/>
      <c r="R21" s="4" t="s">
        <v>30</v>
      </c>
      <c r="S21" s="5">
        <v>4219000</v>
      </c>
      <c r="T21" s="4">
        <v>140</v>
      </c>
      <c r="U21" s="4">
        <v>72</v>
      </c>
      <c r="V21" s="8">
        <f t="shared" ref="V21" si="4">SUM(T21:U21)</f>
        <v>212</v>
      </c>
    </row>
    <row r="22" spans="2:22" ht="23.1" customHeight="1" x14ac:dyDescent="0.3">
      <c r="B22" s="239"/>
      <c r="C22" s="112" t="s">
        <v>16</v>
      </c>
      <c r="D22" s="110" t="s">
        <v>58</v>
      </c>
      <c r="E22" s="141">
        <v>1</v>
      </c>
      <c r="F22" s="146">
        <v>39000000</v>
      </c>
      <c r="G22" s="105">
        <v>38496245</v>
      </c>
      <c r="H22" s="104">
        <f>SUM(G22/G24*100)</f>
        <v>3.5470327444313319</v>
      </c>
      <c r="I22" s="147">
        <v>420255</v>
      </c>
      <c r="J22" s="146">
        <v>12270000</v>
      </c>
      <c r="K22" s="104">
        <f>SUM(J22/J24*100)</f>
        <v>1.2414920433908168</v>
      </c>
      <c r="L22" s="147">
        <f>SUM(J22-G22)</f>
        <v>-26226245</v>
      </c>
      <c r="M22" s="159">
        <v>285</v>
      </c>
      <c r="N22" s="103">
        <v>98</v>
      </c>
      <c r="O22" s="161">
        <f>SUM(M22:N22)</f>
        <v>383</v>
      </c>
      <c r="P22" s="124">
        <f t="shared" si="2"/>
        <v>31.529042950933412</v>
      </c>
      <c r="Q22" s="210"/>
      <c r="R22" s="4"/>
      <c r="S22" s="5"/>
      <c r="T22" s="4"/>
      <c r="U22" s="4"/>
      <c r="V22" s="4"/>
    </row>
    <row r="23" spans="2:22" ht="23.1" customHeight="1" thickBot="1" x14ac:dyDescent="0.35">
      <c r="B23" s="240"/>
      <c r="C23" s="130" t="s">
        <v>18</v>
      </c>
      <c r="D23" s="126" t="s">
        <v>58</v>
      </c>
      <c r="E23" s="142">
        <v>1</v>
      </c>
      <c r="F23" s="149">
        <v>11000000</v>
      </c>
      <c r="G23" s="127">
        <v>10576980</v>
      </c>
      <c r="H23" s="128">
        <f>SUM(G23/G24*100)</f>
        <v>0.97455984076356816</v>
      </c>
      <c r="I23" s="150">
        <v>71214</v>
      </c>
      <c r="J23" s="149">
        <v>2677000</v>
      </c>
      <c r="K23" s="128">
        <f>SUM(J23/J24*100)</f>
        <v>0.27086179300384811</v>
      </c>
      <c r="L23" s="150">
        <f>SUM(J23-G23)</f>
        <v>-7899980</v>
      </c>
      <c r="M23" s="164">
        <v>151</v>
      </c>
      <c r="N23" s="131">
        <v>18</v>
      </c>
      <c r="O23" s="165">
        <f>SUM(M23:N23)</f>
        <v>169</v>
      </c>
      <c r="P23" s="132">
        <f t="shared" si="2"/>
        <v>25.140413482323858</v>
      </c>
      <c r="Q23" s="211"/>
      <c r="R23" s="4"/>
      <c r="S23" s="5"/>
      <c r="T23" s="4"/>
      <c r="U23" s="4"/>
      <c r="V23" s="4"/>
    </row>
    <row r="24" spans="2:22" ht="23.1" customHeight="1" thickBot="1" x14ac:dyDescent="0.35">
      <c r="B24" s="221" t="s">
        <v>82</v>
      </c>
      <c r="C24" s="222"/>
      <c r="D24" s="223"/>
      <c r="E24" s="143" t="s">
        <v>94</v>
      </c>
      <c r="F24" s="151">
        <f t="shared" ref="F24:O24" si="5">SUM(F6:F23)</f>
        <v>1155000000</v>
      </c>
      <c r="G24" s="133">
        <f t="shared" si="5"/>
        <v>1085308419</v>
      </c>
      <c r="H24" s="134">
        <f t="shared" si="5"/>
        <v>100</v>
      </c>
      <c r="I24" s="152">
        <f t="shared" si="5"/>
        <v>35522531</v>
      </c>
      <c r="J24" s="151">
        <f t="shared" si="5"/>
        <v>988326914</v>
      </c>
      <c r="K24" s="134">
        <f t="shared" si="5"/>
        <v>100.00000000000001</v>
      </c>
      <c r="L24" s="152">
        <f t="shared" si="5"/>
        <v>-96981505</v>
      </c>
      <c r="M24" s="166">
        <f t="shared" si="5"/>
        <v>27432</v>
      </c>
      <c r="N24" s="135">
        <f t="shared" si="5"/>
        <v>1702</v>
      </c>
      <c r="O24" s="167">
        <f t="shared" si="5"/>
        <v>30614</v>
      </c>
      <c r="P24" s="136">
        <f t="shared" si="2"/>
        <v>88.178053434373851</v>
      </c>
      <c r="Q24" s="173">
        <f>J24/(G24+I24)*100</f>
        <v>88.178053434373851</v>
      </c>
      <c r="R24" s="4"/>
      <c r="S24" s="5"/>
      <c r="T24" s="4"/>
      <c r="U24" s="4"/>
      <c r="V24" s="4"/>
    </row>
    <row r="26" spans="2:22" x14ac:dyDescent="0.3">
      <c r="G26" s="172">
        <f>SUM(G6:G14)</f>
        <v>476461349</v>
      </c>
      <c r="H26" s="172"/>
      <c r="I26" s="172">
        <f>SUM(I6:I14)</f>
        <v>6922918</v>
      </c>
      <c r="J26" s="172">
        <f>SUM(J6:J14)</f>
        <v>196412414</v>
      </c>
      <c r="Q26">
        <f>(J26/(G26+I26))*100</f>
        <v>40.632769291185888</v>
      </c>
    </row>
    <row r="27" spans="2:22" x14ac:dyDescent="0.3">
      <c r="G27" s="172">
        <f>SUM(G15:G23)</f>
        <v>608847070</v>
      </c>
      <c r="H27" s="172"/>
      <c r="I27" s="172">
        <f>SUM(I15:I23)</f>
        <v>28599613</v>
      </c>
      <c r="J27" s="172">
        <f>SUM(J15:J23)</f>
        <v>791914500</v>
      </c>
      <c r="Q27">
        <f>(J27/(G27+I27))*100</f>
        <v>124.23227245815005</v>
      </c>
    </row>
    <row r="28" spans="2:22" x14ac:dyDescent="0.3">
      <c r="H28" s="89"/>
      <c r="I28" s="7"/>
    </row>
    <row r="29" spans="2:22" x14ac:dyDescent="0.3">
      <c r="H29" s="7"/>
    </row>
  </sheetData>
  <mergeCells count="17">
    <mergeCell ref="C2:P2"/>
    <mergeCell ref="G4:H4"/>
    <mergeCell ref="F4:F5"/>
    <mergeCell ref="J4:K4"/>
    <mergeCell ref="L4:L5"/>
    <mergeCell ref="P4:P5"/>
    <mergeCell ref="I4:I5"/>
    <mergeCell ref="M4:O4"/>
    <mergeCell ref="D4:D5"/>
    <mergeCell ref="E4:E5"/>
    <mergeCell ref="Q6:Q14"/>
    <mergeCell ref="B6:B14"/>
    <mergeCell ref="Q4:Q5"/>
    <mergeCell ref="B4:C5"/>
    <mergeCell ref="B24:D24"/>
    <mergeCell ref="Q15:Q23"/>
    <mergeCell ref="B15:B23"/>
  </mergeCells>
  <phoneticPr fontId="2" type="noConversion"/>
  <pageMargins left="0.31496062992125984" right="0.19685039370078741" top="0.74803149606299213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2"/>
  <sheetViews>
    <sheetView workbookViewId="0">
      <selection activeCell="M168" sqref="M168"/>
    </sheetView>
  </sheetViews>
  <sheetFormatPr defaultRowHeight="16.5" x14ac:dyDescent="0.3"/>
  <sheetData>
    <row r="1" spans="1:1" x14ac:dyDescent="0.3">
      <c r="A1" s="100" t="s">
        <v>43</v>
      </c>
    </row>
    <row r="21" spans="1:1" x14ac:dyDescent="0.3">
      <c r="A21" s="100" t="s">
        <v>44</v>
      </c>
    </row>
    <row r="42" spans="1:1" x14ac:dyDescent="0.3">
      <c r="A42" s="100" t="s">
        <v>45</v>
      </c>
    </row>
    <row r="65" spans="1:1" x14ac:dyDescent="0.3">
      <c r="A65" t="s">
        <v>46</v>
      </c>
    </row>
    <row r="88" spans="1:1" x14ac:dyDescent="0.3">
      <c r="A88" t="s">
        <v>47</v>
      </c>
    </row>
    <row r="109" spans="1:1" x14ac:dyDescent="0.3">
      <c r="A109" s="100" t="s">
        <v>48</v>
      </c>
    </row>
    <row r="118" spans="1:1" x14ac:dyDescent="0.3">
      <c r="A118" s="100" t="s">
        <v>49</v>
      </c>
    </row>
    <row r="129" spans="1:1" x14ac:dyDescent="0.3">
      <c r="A129" s="100" t="s">
        <v>50</v>
      </c>
    </row>
    <row r="140" spans="1:1" x14ac:dyDescent="0.3">
      <c r="A140" s="100" t="s">
        <v>51</v>
      </c>
    </row>
    <row r="162" spans="1:1" x14ac:dyDescent="0.3">
      <c r="A162" s="100" t="s">
        <v>52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원문</vt:lpstr>
      <vt:lpstr>수정</vt:lpstr>
      <vt:lpstr>Sheet2</vt:lpstr>
      <vt:lpstr>수정!Print_Area</vt:lpstr>
      <vt:lpstr>원문!Print_Area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2025-01-15T04:48:18Z</cp:lastPrinted>
  <dcterms:created xsi:type="dcterms:W3CDTF">2024-12-20T02:18:44Z</dcterms:created>
  <dcterms:modified xsi:type="dcterms:W3CDTF">2025-02-08T04:14:06Z</dcterms:modified>
</cp:coreProperties>
</file>