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예술사업팀 공유폴더\1. 팀장님 검토 희망 자료\"/>
    </mc:Choice>
  </mc:AlternateContent>
  <bookViews>
    <workbookView xWindow="0" yWindow="0" windowWidth="28800" windowHeight="12390"/>
  </bookViews>
  <sheets>
    <sheet name="원문" sheetId="3" r:id="rId1"/>
  </sheets>
  <definedNames>
    <definedName name="_xlnm.Print_Area" localSheetId="0">원문!$A$1:$L$14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2" i="3" l="1"/>
  <c r="L12" i="3"/>
  <c r="K12" i="3"/>
  <c r="H12" i="3"/>
  <c r="E14" i="3" l="1"/>
  <c r="C14" i="3"/>
  <c r="B14" i="3"/>
  <c r="R13" i="3"/>
  <c r="L13" i="3"/>
  <c r="K13" i="3"/>
  <c r="H13" i="3"/>
  <c r="R11" i="3"/>
  <c r="L11" i="3"/>
  <c r="K11" i="3"/>
  <c r="H11" i="3"/>
  <c r="L10" i="3"/>
  <c r="K10" i="3"/>
  <c r="H10" i="3"/>
  <c r="L9" i="3"/>
  <c r="K9" i="3"/>
  <c r="H9" i="3"/>
  <c r="Q8" i="3"/>
  <c r="P8" i="3"/>
  <c r="O8" i="3"/>
  <c r="K8" i="3"/>
  <c r="F14" i="3"/>
  <c r="G12" i="3" s="1"/>
  <c r="R7" i="3"/>
  <c r="L7" i="3"/>
  <c r="K7" i="3"/>
  <c r="H7" i="3"/>
  <c r="R6" i="3"/>
  <c r="L6" i="3"/>
  <c r="K6" i="3"/>
  <c r="H6" i="3"/>
  <c r="R5" i="3"/>
  <c r="L5" i="3"/>
  <c r="K5" i="3"/>
  <c r="H5" i="3"/>
  <c r="D8" i="3" l="1"/>
  <c r="D12" i="3"/>
  <c r="D9" i="3"/>
  <c r="D7" i="3"/>
  <c r="D11" i="3"/>
  <c r="D6" i="3"/>
  <c r="D13" i="3"/>
  <c r="D5" i="3"/>
  <c r="D10" i="3"/>
  <c r="R8" i="3"/>
  <c r="J14" i="3"/>
  <c r="I14" i="3"/>
  <c r="K14" i="3"/>
  <c r="G11" i="3"/>
  <c r="G7" i="3"/>
  <c r="G10" i="3"/>
  <c r="G9" i="3"/>
  <c r="G5" i="3"/>
  <c r="G6" i="3"/>
  <c r="G13" i="3"/>
  <c r="G8" i="3"/>
  <c r="H8" i="3"/>
  <c r="H14" i="3" s="1"/>
  <c r="L8" i="3"/>
  <c r="D14" i="3" l="1"/>
  <c r="G14" i="3"/>
</calcChain>
</file>

<file path=xl/comments1.xml><?xml version="1.0" encoding="utf-8"?>
<comments xmlns="http://schemas.openxmlformats.org/spreadsheetml/2006/main">
  <authors>
    <author>김해진</author>
  </authors>
  <commentList>
    <comment ref="B8" authorId="0" shapeId="0">
      <text>
        <r>
          <rPr>
            <b/>
            <sz val="9"/>
            <color indexed="81"/>
            <rFont val="돋움"/>
            <family val="3"/>
            <charset val="129"/>
          </rPr>
          <t>김해진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어린이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미술전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잔여예산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사업비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전용</t>
        </r>
      </text>
    </comment>
    <comment ref="F8" authorId="0" shapeId="0">
      <text>
        <r>
          <rPr>
            <b/>
            <sz val="9"/>
            <color indexed="81"/>
            <rFont val="돋움"/>
            <family val="3"/>
            <charset val="129"/>
          </rPr>
          <t>김해진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티켓매출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브런치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매출
</t>
        </r>
        <r>
          <rPr>
            <sz val="9"/>
            <color indexed="81"/>
            <rFont val="Tahoma"/>
            <family val="2"/>
          </rPr>
          <t>+MD</t>
        </r>
        <r>
          <rPr>
            <sz val="9"/>
            <color indexed="81"/>
            <rFont val="돋움"/>
            <family val="3"/>
            <charset val="129"/>
          </rPr>
          <t>상품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</t>
        </r>
      </text>
    </comment>
  </commentList>
</comments>
</file>

<file path=xl/sharedStrings.xml><?xml version="1.0" encoding="utf-8"?>
<sst xmlns="http://schemas.openxmlformats.org/spreadsheetml/2006/main" count="31" uniqueCount="30">
  <si>
    <t>구분</t>
    <phoneticPr fontId="2" type="noConversion"/>
  </si>
  <si>
    <t>예산</t>
    <phoneticPr fontId="2" type="noConversion"/>
  </si>
  <si>
    <t>계</t>
    <phoneticPr fontId="2" type="noConversion"/>
  </si>
  <si>
    <t>계</t>
    <phoneticPr fontId="2" type="noConversion"/>
  </si>
  <si>
    <t>장영실</t>
    <phoneticPr fontId="2" type="noConversion"/>
  </si>
  <si>
    <t>브런치 1</t>
    <phoneticPr fontId="2" type="noConversion"/>
  </si>
  <si>
    <t>브런치 3</t>
    <phoneticPr fontId="2" type="noConversion"/>
  </si>
  <si>
    <t>브런치 4</t>
    <phoneticPr fontId="2" type="noConversion"/>
  </si>
  <si>
    <t>무풍</t>
    <phoneticPr fontId="2" type="noConversion"/>
  </si>
  <si>
    <t>수익율</t>
    <phoneticPr fontId="2" type="noConversion"/>
  </si>
  <si>
    <t>지출</t>
    <phoneticPr fontId="2" type="noConversion"/>
  </si>
  <si>
    <t>총액대비 비율</t>
    <phoneticPr fontId="2" type="noConversion"/>
  </si>
  <si>
    <t>매출</t>
    <phoneticPr fontId="2" type="noConversion"/>
  </si>
  <si>
    <t xml:space="preserve">차액
(a-b) </t>
    <phoneticPr fontId="2" type="noConversion"/>
  </si>
  <si>
    <t>정산서 기준(b)</t>
    <phoneticPr fontId="2" type="noConversion"/>
  </si>
  <si>
    <t>전표실적(a)</t>
    <phoneticPr fontId="2" type="noConversion"/>
  </si>
  <si>
    <t>총액대비 비율</t>
    <phoneticPr fontId="2" type="noConversion"/>
  </si>
  <si>
    <t>판매수수료</t>
    <phoneticPr fontId="2" type="noConversion"/>
  </si>
  <si>
    <t>2024 전시사업 운영 결과</t>
    <phoneticPr fontId="2" type="noConversion"/>
  </si>
  <si>
    <t>앙리 마티스</t>
    <phoneticPr fontId="2" type="noConversion"/>
  </si>
  <si>
    <t>5기 단기 입주작가전 &lt;이미경&gt;</t>
    <phoneticPr fontId="2" type="noConversion"/>
  </si>
  <si>
    <t>5기 장기 입주작가전 &lt;김용원, 김용현, 이연숙&gt;</t>
    <phoneticPr fontId="2" type="noConversion"/>
  </si>
  <si>
    <t>지역작가 초대전 &lt;김상선&gt;</t>
    <phoneticPr fontId="2" type="noConversion"/>
  </si>
  <si>
    <t>크리스마스 기획전 &lt;홍범&gt;</t>
    <phoneticPr fontId="2" type="noConversion"/>
  </si>
  <si>
    <t>유료</t>
    <phoneticPr fontId="2" type="noConversion"/>
  </si>
  <si>
    <t>무료</t>
    <phoneticPr fontId="2" type="noConversion"/>
  </si>
  <si>
    <t>예울마루 위크 &lt;장도 나라의 앨리스&gt;</t>
    <phoneticPr fontId="2" type="noConversion"/>
  </si>
  <si>
    <t>장도 기획전시 &lt;댕댕이의 하루&gt;</t>
    <phoneticPr fontId="2" type="noConversion"/>
  </si>
  <si>
    <t>5기 입주작가 프리뷰전</t>
    <phoneticPr fontId="2" type="noConversion"/>
  </si>
  <si>
    <t>어린이 미술전 &lt;파르르 파르르&gt;/연계 워크숍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</si>
</sst>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_-* #,##0.00_-;\-* #,##0.0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double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41" fontId="3" fillId="0" borderId="0" xfId="1" applyFont="1">
      <alignment vertical="center"/>
    </xf>
    <xf numFmtId="41" fontId="0" fillId="0" borderId="0" xfId="1" applyFont="1">
      <alignment vertical="center"/>
    </xf>
    <xf numFmtId="41" fontId="4" fillId="0" borderId="0" xfId="1" applyFont="1">
      <alignment vertical="center"/>
    </xf>
    <xf numFmtId="41" fontId="3" fillId="0" borderId="0" xfId="0" applyNumberFormat="1" applyFont="1">
      <alignment vertical="center"/>
    </xf>
    <xf numFmtId="41" fontId="3" fillId="0" borderId="0" xfId="1" applyFont="1" applyBorder="1">
      <alignment vertical="center"/>
    </xf>
    <xf numFmtId="0" fontId="5" fillId="0" borderId="0" xfId="0" applyFont="1" applyFill="1" applyBorder="1" applyAlignment="1">
      <alignment horizontal="center" vertical="center"/>
    </xf>
    <xf numFmtId="41" fontId="3" fillId="0" borderId="0" xfId="0" applyNumberFormat="1" applyFont="1" applyFill="1" applyBorder="1">
      <alignment vertical="center"/>
    </xf>
    <xf numFmtId="41" fontId="5" fillId="0" borderId="2" xfId="1" applyFont="1" applyBorder="1">
      <alignment vertical="center"/>
    </xf>
    <xf numFmtId="0" fontId="5" fillId="2" borderId="8" xfId="0" applyFont="1" applyFill="1" applyBorder="1" applyAlignment="1">
      <alignment horizontal="center" vertical="center" wrapText="1"/>
    </xf>
    <xf numFmtId="176" fontId="4" fillId="0" borderId="6" xfId="1" applyNumberFormat="1" applyFont="1" applyBorder="1">
      <alignment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41" fontId="5" fillId="0" borderId="15" xfId="1" applyFont="1" applyBorder="1">
      <alignment vertical="center"/>
    </xf>
    <xf numFmtId="41" fontId="3" fillId="0" borderId="1" xfId="1" applyFont="1" applyBorder="1">
      <alignment vertical="center"/>
    </xf>
    <xf numFmtId="41" fontId="5" fillId="0" borderId="22" xfId="1" applyFont="1" applyBorder="1">
      <alignment vertical="center"/>
    </xf>
    <xf numFmtId="0" fontId="3" fillId="0" borderId="0" xfId="0" applyFont="1" applyAlignment="1">
      <alignment horizontal="left" vertical="center"/>
    </xf>
    <xf numFmtId="3" fontId="4" fillId="0" borderId="0" xfId="0" applyNumberFormat="1" applyFont="1">
      <alignment vertical="center"/>
    </xf>
    <xf numFmtId="0" fontId="0" fillId="0" borderId="0" xfId="0" applyAlignment="1">
      <alignment vertical="center"/>
    </xf>
    <xf numFmtId="0" fontId="5" fillId="2" borderId="7" xfId="0" applyFont="1" applyFill="1" applyBorder="1" applyAlignment="1">
      <alignment horizontal="center" vertical="center"/>
    </xf>
    <xf numFmtId="41" fontId="5" fillId="0" borderId="5" xfId="1" applyFont="1" applyBorder="1">
      <alignment vertical="center"/>
    </xf>
    <xf numFmtId="41" fontId="5" fillId="0" borderId="5" xfId="1" applyFont="1" applyFill="1" applyBorder="1">
      <alignment vertical="center"/>
    </xf>
    <xf numFmtId="176" fontId="4" fillId="0" borderId="6" xfId="1" applyNumberFormat="1" applyFont="1" applyFill="1" applyBorder="1">
      <alignment vertical="center"/>
    </xf>
    <xf numFmtId="41" fontId="5" fillId="0" borderId="15" xfId="1" applyFont="1" applyFill="1" applyBorder="1">
      <alignment vertical="center"/>
    </xf>
    <xf numFmtId="41" fontId="4" fillId="0" borderId="15" xfId="1" applyNumberFormat="1" applyFont="1" applyBorder="1">
      <alignment vertical="center"/>
    </xf>
    <xf numFmtId="41" fontId="4" fillId="0" borderId="15" xfId="1" applyNumberFormat="1" applyFont="1" applyFill="1" applyBorder="1">
      <alignment vertical="center"/>
    </xf>
    <xf numFmtId="41" fontId="5" fillId="2" borderId="30" xfId="1" applyFont="1" applyFill="1" applyBorder="1">
      <alignment vertical="center"/>
    </xf>
    <xf numFmtId="41" fontId="5" fillId="2" borderId="29" xfId="1" applyFont="1" applyFill="1" applyBorder="1">
      <alignment vertical="center"/>
    </xf>
    <xf numFmtId="41" fontId="5" fillId="2" borderId="31" xfId="1" applyFont="1" applyFill="1" applyBorder="1">
      <alignment vertical="center"/>
    </xf>
    <xf numFmtId="41" fontId="5" fillId="2" borderId="32" xfId="1" applyFont="1" applyFill="1" applyBorder="1">
      <alignment vertical="center"/>
    </xf>
    <xf numFmtId="41" fontId="5" fillId="2" borderId="25" xfId="1" applyFont="1" applyFill="1" applyBorder="1">
      <alignment vertical="center"/>
    </xf>
    <xf numFmtId="41" fontId="5" fillId="2" borderId="33" xfId="0" applyNumberFormat="1" applyFont="1" applyFill="1" applyBorder="1">
      <alignment vertical="center"/>
    </xf>
    <xf numFmtId="41" fontId="5" fillId="2" borderId="30" xfId="0" applyNumberFormat="1" applyFont="1" applyFill="1" applyBorder="1">
      <alignment vertical="center"/>
    </xf>
    <xf numFmtId="41" fontId="5" fillId="2" borderId="25" xfId="0" applyNumberFormat="1" applyFont="1" applyFill="1" applyBorder="1">
      <alignment vertical="center"/>
    </xf>
    <xf numFmtId="41" fontId="5" fillId="2" borderId="34" xfId="0" applyNumberFormat="1" applyFont="1" applyFill="1" applyBorder="1">
      <alignment vertical="center"/>
    </xf>
    <xf numFmtId="41" fontId="5" fillId="3" borderId="5" xfId="1" applyFont="1" applyFill="1" applyBorder="1">
      <alignment vertical="center"/>
    </xf>
    <xf numFmtId="176" fontId="4" fillId="3" borderId="6" xfId="1" applyNumberFormat="1" applyFont="1" applyFill="1" applyBorder="1">
      <alignment vertical="center"/>
    </xf>
    <xf numFmtId="41" fontId="4" fillId="3" borderId="15" xfId="1" applyNumberFormat="1" applyFont="1" applyFill="1" applyBorder="1">
      <alignment vertical="center"/>
    </xf>
    <xf numFmtId="41" fontId="5" fillId="3" borderId="15" xfId="1" applyFont="1" applyFill="1" applyBorder="1">
      <alignment vertical="center"/>
    </xf>
    <xf numFmtId="41" fontId="5" fillId="3" borderId="2" xfId="1" applyFont="1" applyFill="1" applyBorder="1">
      <alignment vertical="center"/>
    </xf>
    <xf numFmtId="41" fontId="3" fillId="3" borderId="1" xfId="1" applyFont="1" applyFill="1" applyBorder="1">
      <alignment vertical="center"/>
    </xf>
    <xf numFmtId="41" fontId="5" fillId="3" borderId="22" xfId="1" applyFont="1" applyFill="1" applyBorder="1">
      <alignment vertical="center"/>
    </xf>
    <xf numFmtId="41" fontId="11" fillId="0" borderId="0" xfId="0" applyNumberFormat="1" applyFont="1">
      <alignment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41" fontId="4" fillId="3" borderId="15" xfId="1" applyFont="1" applyFill="1" applyBorder="1">
      <alignment vertical="center"/>
    </xf>
    <xf numFmtId="41" fontId="4" fillId="0" borderId="15" xfId="1" applyFont="1" applyBorder="1">
      <alignment vertical="center"/>
    </xf>
    <xf numFmtId="41" fontId="4" fillId="3" borderId="14" xfId="1" applyFont="1" applyFill="1" applyBorder="1">
      <alignment vertical="center"/>
    </xf>
    <xf numFmtId="41" fontId="5" fillId="3" borderId="26" xfId="1" applyFont="1" applyFill="1" applyBorder="1">
      <alignment vertical="center"/>
    </xf>
    <xf numFmtId="41" fontId="4" fillId="3" borderId="28" xfId="1" applyNumberFormat="1" applyFont="1" applyFill="1" applyBorder="1">
      <alignment vertical="center"/>
    </xf>
    <xf numFmtId="41" fontId="5" fillId="3" borderId="14" xfId="1" applyFont="1" applyFill="1" applyBorder="1">
      <alignment vertical="center"/>
    </xf>
    <xf numFmtId="41" fontId="5" fillId="3" borderId="11" xfId="1" applyFont="1" applyFill="1" applyBorder="1">
      <alignment vertical="center"/>
    </xf>
    <xf numFmtId="41" fontId="3" fillId="3" borderId="18" xfId="1" applyFont="1" applyFill="1" applyBorder="1">
      <alignment vertical="center"/>
    </xf>
    <xf numFmtId="41" fontId="5" fillId="3" borderId="21" xfId="1" applyFont="1" applyFill="1" applyBorder="1">
      <alignment vertical="center"/>
    </xf>
    <xf numFmtId="0" fontId="5" fillId="2" borderId="19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2" borderId="35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1" fontId="12" fillId="4" borderId="22" xfId="2" applyNumberFormat="1" applyBorder="1">
      <alignment vertical="center"/>
    </xf>
    <xf numFmtId="41" fontId="12" fillId="4" borderId="26" xfId="2" applyNumberFormat="1" applyBorder="1">
      <alignment vertical="center"/>
    </xf>
    <xf numFmtId="41" fontId="12" fillId="4" borderId="5" xfId="2" applyNumberFormat="1" applyBorder="1">
      <alignment vertical="center"/>
    </xf>
    <xf numFmtId="176" fontId="12" fillId="4" borderId="6" xfId="2" applyNumberFormat="1" applyBorder="1">
      <alignment vertical="center"/>
    </xf>
    <xf numFmtId="176" fontId="12" fillId="4" borderId="27" xfId="2" applyNumberFormat="1" applyBorder="1">
      <alignment vertical="center"/>
    </xf>
    <xf numFmtId="41" fontId="12" fillId="4" borderId="14" xfId="2" applyNumberFormat="1" applyBorder="1">
      <alignment vertical="center"/>
    </xf>
    <xf numFmtId="41" fontId="12" fillId="4" borderId="15" xfId="2" applyNumberFormat="1" applyBorder="1">
      <alignment vertical="center"/>
    </xf>
  </cellXfs>
  <cellStyles count="3">
    <cellStyle name="강조색6" xfId="2" builtinId="49"/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EEE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19"/>
  <sheetViews>
    <sheetView tabSelected="1" workbookViewId="0">
      <selection activeCell="G25" sqref="G25"/>
    </sheetView>
  </sheetViews>
  <sheetFormatPr defaultRowHeight="16.5" x14ac:dyDescent="0.3"/>
  <cols>
    <col min="1" max="1" width="37.125" style="1" bestFit="1" customWidth="1"/>
    <col min="2" max="2" width="14.25" style="2" bestFit="1" customWidth="1"/>
    <col min="3" max="3" width="12.75" style="2" bestFit="1" customWidth="1"/>
    <col min="4" max="5" width="12.75" style="2" customWidth="1"/>
    <col min="6" max="6" width="12.75" style="2" bestFit="1" customWidth="1"/>
    <col min="7" max="8" width="12.75" style="2" customWidth="1"/>
    <col min="14" max="14" width="0" hidden="1" customWidth="1"/>
    <col min="15" max="15" width="10.5" style="5" hidden="1" customWidth="1"/>
    <col min="16" max="16" width="10.875" hidden="1" customWidth="1"/>
    <col min="17" max="18" width="0" hidden="1" customWidth="1"/>
  </cols>
  <sheetData>
    <row r="1" spans="1:18" ht="35.1" customHeight="1" x14ac:dyDescent="0.3">
      <c r="A1" s="61" t="s">
        <v>18</v>
      </c>
      <c r="B1" s="61"/>
      <c r="C1" s="61"/>
      <c r="D1" s="61"/>
      <c r="E1" s="61"/>
      <c r="F1" s="62"/>
      <c r="G1" s="62"/>
      <c r="H1" s="62"/>
      <c r="I1" s="62"/>
      <c r="J1" s="62"/>
      <c r="K1" s="62"/>
      <c r="L1" s="62"/>
    </row>
    <row r="2" spans="1:18" ht="17.25" thickBot="1" x14ac:dyDescent="0.35">
      <c r="A2" s="19"/>
      <c r="B2" s="21"/>
      <c r="C2" s="21"/>
      <c r="D2" s="21"/>
      <c r="E2" s="21"/>
      <c r="F2" s="21"/>
      <c r="G2" s="21"/>
      <c r="H2" s="21"/>
    </row>
    <row r="3" spans="1:18" ht="17.45" customHeight="1" x14ac:dyDescent="0.3">
      <c r="A3" s="63" t="s">
        <v>0</v>
      </c>
      <c r="B3" s="65" t="s">
        <v>1</v>
      </c>
      <c r="C3" s="67" t="s">
        <v>10</v>
      </c>
      <c r="D3" s="68"/>
      <c r="E3" s="69" t="s">
        <v>17</v>
      </c>
      <c r="F3" s="67" t="s">
        <v>12</v>
      </c>
      <c r="G3" s="68"/>
      <c r="H3" s="71" t="s">
        <v>13</v>
      </c>
      <c r="I3" s="73" t="s">
        <v>24</v>
      </c>
      <c r="J3" s="75" t="s">
        <v>25</v>
      </c>
      <c r="K3" s="65" t="s">
        <v>3</v>
      </c>
      <c r="L3" s="59" t="s">
        <v>9</v>
      </c>
      <c r="M3" s="9"/>
    </row>
    <row r="4" spans="1:18" ht="17.45" customHeight="1" thickBot="1" x14ac:dyDescent="0.35">
      <c r="A4" s="64"/>
      <c r="B4" s="66"/>
      <c r="C4" s="22" t="s">
        <v>15</v>
      </c>
      <c r="D4" s="12" t="s">
        <v>11</v>
      </c>
      <c r="E4" s="70"/>
      <c r="F4" s="14" t="s">
        <v>14</v>
      </c>
      <c r="G4" s="15" t="s">
        <v>16</v>
      </c>
      <c r="H4" s="72"/>
      <c r="I4" s="74"/>
      <c r="J4" s="76"/>
      <c r="K4" s="66"/>
      <c r="L4" s="60"/>
      <c r="M4" s="9"/>
    </row>
    <row r="5" spans="1:18" ht="21" customHeight="1" thickTop="1" x14ac:dyDescent="0.3">
      <c r="A5" s="46" t="s">
        <v>29</v>
      </c>
      <c r="B5" s="52">
        <v>77200000</v>
      </c>
      <c r="C5" s="53">
        <v>74663151</v>
      </c>
      <c r="D5" s="81">
        <f>SUM(C5/C14*100)</f>
        <v>20.926780995428089</v>
      </c>
      <c r="E5" s="54">
        <v>368725</v>
      </c>
      <c r="F5" s="78">
        <v>11172400</v>
      </c>
      <c r="G5" s="81">
        <f>SUM(F5/F14*100)</f>
        <v>18.33594007716837</v>
      </c>
      <c r="H5" s="55">
        <f t="shared" ref="H5:H13" si="0">SUM(F5-C5)</f>
        <v>-63490751</v>
      </c>
      <c r="I5" s="56">
        <v>2724</v>
      </c>
      <c r="J5" s="57">
        <v>345</v>
      </c>
      <c r="K5" s="82">
        <f>SUM(I5:J5)</f>
        <v>3069</v>
      </c>
      <c r="L5" s="58">
        <f>SUM(F5/C5*100)</f>
        <v>14.96374027932467</v>
      </c>
      <c r="M5" s="8"/>
      <c r="N5" s="3" t="s">
        <v>5</v>
      </c>
      <c r="O5" s="4">
        <v>8526000</v>
      </c>
      <c r="P5" s="3">
        <v>546</v>
      </c>
      <c r="Q5" s="3">
        <v>26</v>
      </c>
      <c r="R5" s="3">
        <f>SUM(P5:Q5)</f>
        <v>572</v>
      </c>
    </row>
    <row r="6" spans="1:18" ht="21" customHeight="1" x14ac:dyDescent="0.3">
      <c r="A6" s="48" t="s">
        <v>28</v>
      </c>
      <c r="B6" s="51">
        <v>17900000</v>
      </c>
      <c r="C6" s="23">
        <v>17843339</v>
      </c>
      <c r="D6" s="13">
        <f>SUM(C6/C14*100)</f>
        <v>5.0011771868586266</v>
      </c>
      <c r="E6" s="27">
        <v>98505</v>
      </c>
      <c r="F6" s="23">
        <v>2985000</v>
      </c>
      <c r="G6" s="13">
        <f>SUM(F6/F14*100)</f>
        <v>4.8989278158987846</v>
      </c>
      <c r="H6" s="26">
        <f t="shared" si="0"/>
        <v>-14858339</v>
      </c>
      <c r="I6" s="11">
        <v>995</v>
      </c>
      <c r="J6" s="17">
        <v>89</v>
      </c>
      <c r="K6" s="16">
        <f t="shared" ref="K6:K13" si="1">SUM(I6:J6)</f>
        <v>1084</v>
      </c>
      <c r="L6" s="18">
        <f t="shared" ref="L6:L13" si="2">SUM(F6/C6*100)</f>
        <v>16.728931731891659</v>
      </c>
      <c r="M6" s="8"/>
      <c r="N6" s="3" t="s">
        <v>6</v>
      </c>
      <c r="O6" s="4">
        <v>9974000</v>
      </c>
      <c r="P6" s="3">
        <v>718</v>
      </c>
      <c r="Q6" s="3">
        <v>10</v>
      </c>
      <c r="R6" s="3">
        <f t="shared" ref="R6:R7" si="3">SUM(P6:Q6)</f>
        <v>728</v>
      </c>
    </row>
    <row r="7" spans="1:18" ht="21" customHeight="1" x14ac:dyDescent="0.3">
      <c r="A7" s="48" t="s">
        <v>26</v>
      </c>
      <c r="B7" s="50">
        <v>10000000</v>
      </c>
      <c r="C7" s="38">
        <v>9898656</v>
      </c>
      <c r="D7" s="39">
        <f>SUM(C7/C14*100)</f>
        <v>2.7744208955376153</v>
      </c>
      <c r="E7" s="40">
        <v>0</v>
      </c>
      <c r="F7" s="38">
        <v>0</v>
      </c>
      <c r="G7" s="39">
        <f>SUM(F7/F14*100)</f>
        <v>0</v>
      </c>
      <c r="H7" s="41">
        <f t="shared" si="0"/>
        <v>-9898656</v>
      </c>
      <c r="I7" s="42">
        <v>0</v>
      </c>
      <c r="J7" s="43">
        <v>6015</v>
      </c>
      <c r="K7" s="83">
        <f t="shared" si="1"/>
        <v>6015</v>
      </c>
      <c r="L7" s="44">
        <f t="shared" si="2"/>
        <v>0</v>
      </c>
      <c r="M7" s="8"/>
      <c r="N7" s="3" t="s">
        <v>7</v>
      </c>
      <c r="O7" s="4">
        <v>12922500</v>
      </c>
      <c r="P7" s="3">
        <v>921</v>
      </c>
      <c r="Q7" s="3">
        <v>16</v>
      </c>
      <c r="R7" s="3">
        <f t="shared" si="3"/>
        <v>937</v>
      </c>
    </row>
    <row r="8" spans="1:18" ht="21" customHeight="1" x14ac:dyDescent="0.3">
      <c r="A8" s="48" t="s">
        <v>19</v>
      </c>
      <c r="B8" s="51">
        <v>133136849</v>
      </c>
      <c r="C8" s="24">
        <v>132790840</v>
      </c>
      <c r="D8" s="80">
        <f>SUM(C8/C14*100)</f>
        <v>37.218959950925885</v>
      </c>
      <c r="E8" s="28">
        <v>1204038</v>
      </c>
      <c r="F8" s="79">
        <v>37828300</v>
      </c>
      <c r="G8" s="80">
        <f>SUM(F8/F14*100)</f>
        <v>62.083119295867341</v>
      </c>
      <c r="H8" s="26">
        <f t="shared" si="0"/>
        <v>-94962540</v>
      </c>
      <c r="I8" s="11">
        <v>6457</v>
      </c>
      <c r="J8" s="17">
        <v>279</v>
      </c>
      <c r="K8" s="83">
        <f t="shared" si="1"/>
        <v>6736</v>
      </c>
      <c r="L8" s="77">
        <f t="shared" si="2"/>
        <v>28.487130588224307</v>
      </c>
      <c r="M8" s="8"/>
      <c r="N8" s="3"/>
      <c r="O8" s="4">
        <f>SUM(O5:O7)</f>
        <v>31422500</v>
      </c>
      <c r="P8" s="4">
        <f>SUM(P5:P7)</f>
        <v>2185</v>
      </c>
      <c r="Q8" s="4">
        <f>SUM(Q5:Q7)</f>
        <v>52</v>
      </c>
      <c r="R8" s="4">
        <f>SUM(R5:R7)</f>
        <v>2237</v>
      </c>
    </row>
    <row r="9" spans="1:18" ht="21" customHeight="1" x14ac:dyDescent="0.3">
      <c r="A9" s="47" t="s">
        <v>20</v>
      </c>
      <c r="B9" s="50">
        <v>8572000</v>
      </c>
      <c r="C9" s="38">
        <v>8571727</v>
      </c>
      <c r="D9" s="39">
        <f>SUM(C9/C14*100)</f>
        <v>2.4025058047924848</v>
      </c>
      <c r="E9" s="40">
        <v>31581</v>
      </c>
      <c r="F9" s="38">
        <v>957000</v>
      </c>
      <c r="G9" s="39">
        <f>SUM(F9/F14*100)</f>
        <v>1.5706110284137813</v>
      </c>
      <c r="H9" s="41">
        <f t="shared" si="0"/>
        <v>-7614727</v>
      </c>
      <c r="I9" s="42">
        <v>319</v>
      </c>
      <c r="J9" s="43">
        <v>89</v>
      </c>
      <c r="K9" s="41">
        <f t="shared" si="1"/>
        <v>408</v>
      </c>
      <c r="L9" s="44">
        <f t="shared" si="2"/>
        <v>11.164611285450411</v>
      </c>
      <c r="M9" s="8"/>
      <c r="N9" s="3"/>
      <c r="O9" s="4"/>
      <c r="P9" s="3"/>
      <c r="Q9" s="3"/>
      <c r="R9" s="3"/>
    </row>
    <row r="10" spans="1:18" ht="21" customHeight="1" x14ac:dyDescent="0.3">
      <c r="A10" s="48" t="s">
        <v>27</v>
      </c>
      <c r="B10" s="51">
        <v>41800000</v>
      </c>
      <c r="C10" s="24">
        <v>39698059</v>
      </c>
      <c r="D10" s="80">
        <f>SUM(C10/C14*100)</f>
        <v>11.126674611369976</v>
      </c>
      <c r="E10" s="28">
        <v>100056</v>
      </c>
      <c r="F10" s="45">
        <v>3032000</v>
      </c>
      <c r="G10" s="25">
        <f>SUM(F10/F14*100)</f>
        <v>4.976063362748782</v>
      </c>
      <c r="H10" s="26">
        <f t="shared" si="0"/>
        <v>-36666059</v>
      </c>
      <c r="I10" s="11">
        <v>758</v>
      </c>
      <c r="J10" s="17">
        <v>86</v>
      </c>
      <c r="K10" s="16">
        <f t="shared" si="1"/>
        <v>844</v>
      </c>
      <c r="L10" s="18">
        <f t="shared" si="2"/>
        <v>7.6376530147229618</v>
      </c>
      <c r="M10" s="8"/>
      <c r="N10" s="3"/>
      <c r="O10" s="4"/>
      <c r="P10" s="3"/>
      <c r="Q10" s="3"/>
      <c r="R10" s="3"/>
    </row>
    <row r="11" spans="1:18" ht="21" customHeight="1" x14ac:dyDescent="0.3">
      <c r="A11" s="47" t="s">
        <v>21</v>
      </c>
      <c r="B11" s="50">
        <v>51200000</v>
      </c>
      <c r="C11" s="38">
        <v>49388341</v>
      </c>
      <c r="D11" s="80">
        <f>SUM(C11/C14*100)</f>
        <v>13.842691903460139</v>
      </c>
      <c r="E11" s="40">
        <v>89474</v>
      </c>
      <c r="F11" s="38">
        <v>2710000</v>
      </c>
      <c r="G11" s="39">
        <f>SUM(F11/F14*100)</f>
        <v>4.4476028077339054</v>
      </c>
      <c r="H11" s="41">
        <f t="shared" si="0"/>
        <v>-46678341</v>
      </c>
      <c r="I11" s="42">
        <v>1355</v>
      </c>
      <c r="J11" s="43">
        <v>168</v>
      </c>
      <c r="K11" s="41">
        <f t="shared" si="1"/>
        <v>1523</v>
      </c>
      <c r="L11" s="44">
        <f t="shared" si="2"/>
        <v>5.4871249876565003</v>
      </c>
      <c r="M11" s="8"/>
      <c r="N11" s="3" t="s">
        <v>4</v>
      </c>
      <c r="O11" s="4">
        <v>4532000</v>
      </c>
      <c r="P11" s="6">
        <v>273</v>
      </c>
      <c r="Q11" s="3">
        <v>180</v>
      </c>
      <c r="R11" s="7">
        <f>SUM(P11:Q11)</f>
        <v>453</v>
      </c>
    </row>
    <row r="12" spans="1:18" ht="21" customHeight="1" x14ac:dyDescent="0.3">
      <c r="A12" s="48" t="s">
        <v>22</v>
      </c>
      <c r="B12" s="51">
        <v>21900000</v>
      </c>
      <c r="C12" s="24">
        <v>20317467</v>
      </c>
      <c r="D12" s="25">
        <f>SUM(C12/C14*100)</f>
        <v>5.6946321792772618</v>
      </c>
      <c r="E12" s="28">
        <v>74151</v>
      </c>
      <c r="F12" s="24">
        <v>2247000</v>
      </c>
      <c r="G12" s="25">
        <f>SUM(F12/F14*100)</f>
        <v>3.6877356121690354</v>
      </c>
      <c r="H12" s="26">
        <f t="shared" ref="H12" si="4">SUM(F12-C12)</f>
        <v>-18070467</v>
      </c>
      <c r="I12" s="11">
        <v>749</v>
      </c>
      <c r="J12" s="17">
        <v>250</v>
      </c>
      <c r="K12" s="16">
        <f t="shared" ref="K12" si="5">SUM(I12:J12)</f>
        <v>999</v>
      </c>
      <c r="L12" s="18">
        <f t="shared" ref="L12" si="6">SUM(F12/C12*100)</f>
        <v>11.059449487477941</v>
      </c>
      <c r="M12" s="8"/>
      <c r="N12" s="3" t="s">
        <v>8</v>
      </c>
      <c r="O12" s="4">
        <v>5000000</v>
      </c>
      <c r="P12" s="3">
        <v>548</v>
      </c>
      <c r="Q12" s="3">
        <v>9</v>
      </c>
      <c r="R12" s="7">
        <f>SUM(P12:Q12)</f>
        <v>557</v>
      </c>
    </row>
    <row r="13" spans="1:18" ht="21" customHeight="1" thickBot="1" x14ac:dyDescent="0.35">
      <c r="A13" s="48" t="s">
        <v>23</v>
      </c>
      <c r="B13" s="50">
        <v>3650000</v>
      </c>
      <c r="C13" s="38">
        <v>3611200</v>
      </c>
      <c r="D13" s="39">
        <f>SUM(C13/C14*100)</f>
        <v>1.0121564723499268</v>
      </c>
      <c r="E13" s="40">
        <v>0</v>
      </c>
      <c r="F13" s="38">
        <v>0</v>
      </c>
      <c r="G13" s="39">
        <f>SUM(F13/F14*100)</f>
        <v>0</v>
      </c>
      <c r="H13" s="41">
        <f t="shared" si="0"/>
        <v>-3611200</v>
      </c>
      <c r="I13" s="42">
        <v>0</v>
      </c>
      <c r="J13" s="43">
        <v>0</v>
      </c>
      <c r="K13" s="41">
        <f t="shared" si="1"/>
        <v>0</v>
      </c>
      <c r="L13" s="44">
        <f t="shared" si="2"/>
        <v>0</v>
      </c>
      <c r="M13" s="8"/>
      <c r="N13" s="3" t="s">
        <v>8</v>
      </c>
      <c r="O13" s="4">
        <v>5000000</v>
      </c>
      <c r="P13" s="3">
        <v>548</v>
      </c>
      <c r="Q13" s="3">
        <v>9</v>
      </c>
      <c r="R13" s="7">
        <f>SUM(P13:Q13)</f>
        <v>557</v>
      </c>
    </row>
    <row r="14" spans="1:18" ht="21" customHeight="1" thickBot="1" x14ac:dyDescent="0.35">
      <c r="A14" s="49" t="s">
        <v>2</v>
      </c>
      <c r="B14" s="33">
        <f t="shared" ref="B14:K14" si="7">SUM(B5:B13)</f>
        <v>365358849</v>
      </c>
      <c r="C14" s="30">
        <f t="shared" si="7"/>
        <v>356782780</v>
      </c>
      <c r="D14" s="31">
        <f t="shared" si="7"/>
        <v>100.00000000000001</v>
      </c>
      <c r="E14" s="32">
        <f t="shared" si="7"/>
        <v>1966530</v>
      </c>
      <c r="F14" s="30">
        <f t="shared" si="7"/>
        <v>60931700</v>
      </c>
      <c r="G14" s="29">
        <f t="shared" si="7"/>
        <v>99.999999999999986</v>
      </c>
      <c r="H14" s="33">
        <f t="shared" si="7"/>
        <v>-295851080</v>
      </c>
      <c r="I14" s="34">
        <f t="shared" si="7"/>
        <v>13357</v>
      </c>
      <c r="J14" s="35">
        <f t="shared" si="7"/>
        <v>7321</v>
      </c>
      <c r="K14" s="36">
        <f t="shared" si="7"/>
        <v>20678</v>
      </c>
      <c r="L14" s="37"/>
      <c r="M14" s="10"/>
      <c r="N14" s="3"/>
      <c r="O14" s="4"/>
      <c r="P14" s="3"/>
      <c r="Q14" s="3"/>
      <c r="R14" s="3"/>
    </row>
    <row r="18" spans="4:5" x14ac:dyDescent="0.3">
      <c r="D18" s="20"/>
      <c r="E18" s="6"/>
    </row>
    <row r="19" spans="4:5" x14ac:dyDescent="0.3">
      <c r="D19" s="6"/>
    </row>
  </sheetData>
  <mergeCells count="11">
    <mergeCell ref="L3:L4"/>
    <mergeCell ref="A1:L1"/>
    <mergeCell ref="A3:A4"/>
    <mergeCell ref="B3:B4"/>
    <mergeCell ref="C3:D3"/>
    <mergeCell ref="E3:E4"/>
    <mergeCell ref="F3:G3"/>
    <mergeCell ref="H3:H4"/>
    <mergeCell ref="I3:I4"/>
    <mergeCell ref="J3:J4"/>
    <mergeCell ref="K3:K4"/>
  </mergeCells>
  <phoneticPr fontId="2" type="noConversion"/>
  <pageMargins left="0.7" right="0.7" top="0.75" bottom="0.75" header="0.3" footer="0.3"/>
  <pageSetup paperSize="9" scale="73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원문</vt:lpstr>
      <vt:lpstr>원문!Print_Area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한상범</cp:lastModifiedBy>
  <cp:lastPrinted>2025-01-16T07:46:32Z</cp:lastPrinted>
  <dcterms:created xsi:type="dcterms:W3CDTF">2024-12-20T02:18:44Z</dcterms:created>
  <dcterms:modified xsi:type="dcterms:W3CDTF">2025-01-17T00:59:15Z</dcterms:modified>
</cp:coreProperties>
</file>