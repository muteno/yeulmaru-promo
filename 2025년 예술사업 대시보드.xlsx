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updateLinks="always"/>
  <mc:AlternateContent xmlns:mc="http://schemas.openxmlformats.org/markup-compatibility/2006">
    <mc:Choice Requires="x15">
      <x15ac:absPath xmlns:x15ac="http://schemas.microsoft.com/office/spreadsheetml/2010/11/ac" url="https://gscaltexyeulmaru.sharepoint.com/sites/artsmanagement/Shared Documents/General/1. 팀장님 보고용(팀 취합)/3. 예산안/"/>
    </mc:Choice>
  </mc:AlternateContent>
  <xr:revisionPtr revIDLastSave="1420" documentId="121_{9B11993F-0E21-4C2C-983F-D005CAD36858}" xr6:coauthVersionLast="47" xr6:coauthVersionMax="47" xr10:uidLastSave="{7CA4C166-5845-49DF-981D-40FB8026F698}"/>
  <bookViews>
    <workbookView xWindow="-108" yWindow="-108" windowWidth="41496" windowHeight="16776" firstSheet="1" activeTab="1" xr2:uid="{00000000-000D-0000-FFFF-FFFF00000000}"/>
  </bookViews>
  <sheets>
    <sheet name="25공연" sheetId="6" r:id="rId1"/>
    <sheet name="25공연_260319수정" sheetId="16" r:id="rId2"/>
    <sheet name="25전시" sheetId="7" r:id="rId3"/>
    <sheet name="25교육" sheetId="12" r:id="rId4"/>
    <sheet name="25 문화나눔" sheetId="14" r:id="rId5"/>
    <sheet name="Sheet1" sheetId="15" r:id="rId6"/>
  </sheets>
  <definedNames>
    <definedName name="_xlnm.Print_Area" localSheetId="4">'25 문화나눔'!$A$1:$H$35</definedName>
    <definedName name="_xlnm.Print_Area" localSheetId="1">'25공연_260319수정'!$B$1:$Q$41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4" i="16" l="1"/>
  <c r="I15" i="16"/>
  <c r="AA41" i="16"/>
  <c r="AA40" i="16"/>
  <c r="AA39" i="16"/>
  <c r="AA38" i="16"/>
  <c r="J38" i="16" s="1"/>
  <c r="AA37" i="16"/>
  <c r="AA36" i="16"/>
  <c r="Z41" i="16"/>
  <c r="Y41" i="16"/>
  <c r="X41" i="16"/>
  <c r="J40" i="16"/>
  <c r="P40" i="16" s="1"/>
  <c r="Y37" i="16"/>
  <c r="Y38" i="16"/>
  <c r="Y39" i="16"/>
  <c r="Y40" i="16"/>
  <c r="Z37" i="16"/>
  <c r="Z36" i="16"/>
  <c r="J36" i="16" s="1"/>
  <c r="L36" i="16" s="1"/>
  <c r="N41" i="16"/>
  <c r="M41" i="16"/>
  <c r="I41" i="16"/>
  <c r="G41" i="16"/>
  <c r="F41" i="16"/>
  <c r="E41" i="16"/>
  <c r="O40" i="16"/>
  <c r="H40" i="16"/>
  <c r="Z39" i="16"/>
  <c r="O39" i="16"/>
  <c r="Z38" i="16"/>
  <c r="O38" i="16"/>
  <c r="H38" i="16"/>
  <c r="O37" i="16"/>
  <c r="O36" i="16"/>
  <c r="O41" i="16" s="1"/>
  <c r="H36" i="16"/>
  <c r="P32" i="16"/>
  <c r="O32" i="16"/>
  <c r="L32" i="16"/>
  <c r="K32" i="16"/>
  <c r="H32" i="16"/>
  <c r="P31" i="16"/>
  <c r="O31" i="16"/>
  <c r="L31" i="16"/>
  <c r="K31" i="16"/>
  <c r="H31" i="16"/>
  <c r="Q30" i="16"/>
  <c r="P30" i="16"/>
  <c r="O30" i="16"/>
  <c r="L30" i="16"/>
  <c r="K30" i="16"/>
  <c r="H30" i="16"/>
  <c r="Q26" i="16"/>
  <c r="Q16" i="16" s="1"/>
  <c r="J26" i="16"/>
  <c r="I26" i="16"/>
  <c r="G26" i="16"/>
  <c r="M23" i="16"/>
  <c r="G23" i="16"/>
  <c r="H17" i="16" s="1"/>
  <c r="F23" i="16"/>
  <c r="E23" i="16"/>
  <c r="P22" i="16"/>
  <c r="O22" i="16"/>
  <c r="L22" i="16"/>
  <c r="V21" i="16"/>
  <c r="P21" i="16"/>
  <c r="O21" i="16"/>
  <c r="L21" i="16"/>
  <c r="P20" i="16"/>
  <c r="O20" i="16"/>
  <c r="L20" i="16"/>
  <c r="H20" i="16"/>
  <c r="P19" i="16"/>
  <c r="O19" i="16"/>
  <c r="L19" i="16"/>
  <c r="P18" i="16"/>
  <c r="O18" i="16"/>
  <c r="L18" i="16"/>
  <c r="P17" i="16"/>
  <c r="O17" i="16"/>
  <c r="L17" i="16"/>
  <c r="P16" i="16"/>
  <c r="O16" i="16"/>
  <c r="L16" i="16"/>
  <c r="N15" i="16"/>
  <c r="M15" i="16"/>
  <c r="O15" i="16" s="1"/>
  <c r="H15" i="16"/>
  <c r="G15" i="16"/>
  <c r="V14" i="16"/>
  <c r="P14" i="16"/>
  <c r="O14" i="16"/>
  <c r="L14" i="16"/>
  <c r="V13" i="16"/>
  <c r="P13" i="16"/>
  <c r="O13" i="16"/>
  <c r="L13" i="16"/>
  <c r="U12" i="16"/>
  <c r="T12" i="16"/>
  <c r="S12" i="16"/>
  <c r="P12" i="16"/>
  <c r="O12" i="16"/>
  <c r="L12" i="16"/>
  <c r="V11" i="16"/>
  <c r="P11" i="16"/>
  <c r="O11" i="16"/>
  <c r="L11" i="16"/>
  <c r="P10" i="16"/>
  <c r="O10" i="16"/>
  <c r="L10" i="16"/>
  <c r="V9" i="16"/>
  <c r="O9" i="16"/>
  <c r="N9" i="16"/>
  <c r="N23" i="16" s="1"/>
  <c r="M9" i="16"/>
  <c r="J9" i="16"/>
  <c r="I9" i="16"/>
  <c r="I23" i="16" s="1"/>
  <c r="G9" i="16"/>
  <c r="G25" i="16" s="1"/>
  <c r="H14" i="16" s="1"/>
  <c r="P8" i="16"/>
  <c r="O8" i="16"/>
  <c r="L8" i="16"/>
  <c r="V7" i="16"/>
  <c r="P7" i="16"/>
  <c r="O7" i="16"/>
  <c r="L7" i="16"/>
  <c r="V6" i="16"/>
  <c r="V12" i="16" s="1"/>
  <c r="P6" i="16"/>
  <c r="O6" i="16"/>
  <c r="L6" i="16"/>
  <c r="J12" i="12"/>
  <c r="J11" i="12"/>
  <c r="J10" i="12"/>
  <c r="J8" i="12"/>
  <c r="J7" i="12"/>
  <c r="J6" i="12"/>
  <c r="J5" i="12"/>
  <c r="M13" i="7"/>
  <c r="M12" i="7"/>
  <c r="M11" i="7"/>
  <c r="M10" i="7"/>
  <c r="M9" i="7"/>
  <c r="M8" i="7"/>
  <c r="M7" i="7"/>
  <c r="M6" i="7"/>
  <c r="M5" i="7"/>
  <c r="J39" i="16" l="1"/>
  <c r="L39" i="16" s="1"/>
  <c r="J37" i="16"/>
  <c r="L37" i="16" s="1"/>
  <c r="P38" i="16"/>
  <c r="K38" i="16"/>
  <c r="L38" i="16"/>
  <c r="P39" i="16"/>
  <c r="K40" i="16"/>
  <c r="L40" i="16"/>
  <c r="K39" i="16"/>
  <c r="O23" i="16"/>
  <c r="H6" i="16"/>
  <c r="P36" i="16"/>
  <c r="H7" i="16"/>
  <c r="H8" i="16"/>
  <c r="H9" i="16"/>
  <c r="H13" i="16"/>
  <c r="H21" i="16"/>
  <c r="H22" i="16"/>
  <c r="J41" i="16"/>
  <c r="J15" i="16" s="1"/>
  <c r="I25" i="16"/>
  <c r="P9" i="16"/>
  <c r="H19" i="16"/>
  <c r="J25" i="16"/>
  <c r="K36" i="16"/>
  <c r="H11" i="16"/>
  <c r="H12" i="16"/>
  <c r="H18" i="16"/>
  <c r="L9" i="16"/>
  <c r="H10" i="16"/>
  <c r="H16" i="16"/>
  <c r="AA40" i="6"/>
  <c r="P40" i="6"/>
  <c r="P14" i="6"/>
  <c r="P13" i="6"/>
  <c r="K14" i="6"/>
  <c r="L14" i="6"/>
  <c r="L35" i="12"/>
  <c r="L30" i="12"/>
  <c r="L25" i="12"/>
  <c r="L20" i="12"/>
  <c r="K28" i="12"/>
  <c r="K25" i="12"/>
  <c r="D9" i="12"/>
  <c r="D13" i="12" s="1"/>
  <c r="G37" i="12"/>
  <c r="F37" i="12"/>
  <c r="E37" i="12"/>
  <c r="P37" i="16" l="1"/>
  <c r="K37" i="16"/>
  <c r="L41" i="16"/>
  <c r="H23" i="16"/>
  <c r="P15" i="16"/>
  <c r="L15" i="16"/>
  <c r="L23" i="16" s="1"/>
  <c r="J23" i="16"/>
  <c r="Q25" i="16"/>
  <c r="Q6" i="16" s="1"/>
  <c r="K14" i="16"/>
  <c r="H37" i="12"/>
  <c r="K37" i="12" s="1"/>
  <c r="H36" i="12"/>
  <c r="K36" i="12" s="1"/>
  <c r="H35" i="12"/>
  <c r="K35" i="12" s="1"/>
  <c r="H31" i="12"/>
  <c r="K31" i="12" s="1"/>
  <c r="H32" i="12"/>
  <c r="K32" i="12" s="1"/>
  <c r="H33" i="12"/>
  <c r="K33" i="12" s="1"/>
  <c r="H30" i="12"/>
  <c r="K30" i="12" s="1"/>
  <c r="H26" i="12"/>
  <c r="H27" i="12"/>
  <c r="H28" i="12"/>
  <c r="H29" i="12"/>
  <c r="H25" i="12"/>
  <c r="H21" i="12"/>
  <c r="K21" i="12" s="1"/>
  <c r="H22" i="12"/>
  <c r="K22" i="12" s="1"/>
  <c r="H23" i="12"/>
  <c r="K23" i="12" s="1"/>
  <c r="H24" i="12"/>
  <c r="H20" i="12"/>
  <c r="K20" i="12" s="1"/>
  <c r="D37" i="12"/>
  <c r="L12" i="7"/>
  <c r="F23" i="6"/>
  <c r="P23" i="16" l="1"/>
  <c r="K18" i="16"/>
  <c r="K12" i="16"/>
  <c r="K11" i="16"/>
  <c r="K22" i="16"/>
  <c r="K13" i="16"/>
  <c r="K7" i="16"/>
  <c r="K19" i="16"/>
  <c r="K8" i="16"/>
  <c r="K6" i="16"/>
  <c r="K21" i="16"/>
  <c r="Q23" i="16"/>
  <c r="K17" i="16"/>
  <c r="K16" i="16"/>
  <c r="K10" i="16"/>
  <c r="K20" i="16"/>
  <c r="K9" i="16"/>
  <c r="K15" i="16"/>
  <c r="I37" i="12"/>
  <c r="L37" i="12" s="1"/>
  <c r="O14" i="6"/>
  <c r="L13" i="6"/>
  <c r="O13" i="6"/>
  <c r="E7" i="12"/>
  <c r="H12" i="12"/>
  <c r="H11" i="12"/>
  <c r="H10" i="12"/>
  <c r="I9" i="12"/>
  <c r="I13" i="12" s="1"/>
  <c r="F9" i="12"/>
  <c r="J9" i="12" s="1"/>
  <c r="H8" i="12"/>
  <c r="H7" i="12"/>
  <c r="H6" i="12"/>
  <c r="H5" i="12"/>
  <c r="I12" i="7"/>
  <c r="P12" i="6"/>
  <c r="P10" i="6"/>
  <c r="P11" i="6"/>
  <c r="K23" i="16" l="1"/>
  <c r="H9" i="12"/>
  <c r="E10" i="12"/>
  <c r="E12" i="12"/>
  <c r="F13" i="12"/>
  <c r="E11" i="12"/>
  <c r="E8" i="12"/>
  <c r="E6" i="12"/>
  <c r="E9" i="12"/>
  <c r="E5" i="12"/>
  <c r="F5" i="14"/>
  <c r="E5" i="14"/>
  <c r="J36" i="6"/>
  <c r="L10" i="6"/>
  <c r="O10" i="6"/>
  <c r="L8" i="6"/>
  <c r="O8" i="6"/>
  <c r="P8" i="6"/>
  <c r="V13" i="6"/>
  <c r="P20" i="6"/>
  <c r="O20" i="6"/>
  <c r="L20" i="6"/>
  <c r="Z38" i="6"/>
  <c r="AA38" i="6" s="1"/>
  <c r="Z37" i="6"/>
  <c r="AA37" i="6" s="1"/>
  <c r="Z39" i="6"/>
  <c r="AA39" i="6" s="1"/>
  <c r="AA36" i="6"/>
  <c r="P39" i="6"/>
  <c r="P38" i="6"/>
  <c r="P37" i="6"/>
  <c r="N9" i="6"/>
  <c r="M9" i="6"/>
  <c r="J9" i="6"/>
  <c r="I9" i="6"/>
  <c r="G9" i="6"/>
  <c r="H31" i="6"/>
  <c r="H32" i="6"/>
  <c r="H13" i="12" l="1"/>
  <c r="J13" i="12"/>
  <c r="G7" i="12"/>
  <c r="G5" i="12"/>
  <c r="G11" i="12"/>
  <c r="G6" i="12"/>
  <c r="G9" i="12"/>
  <c r="G10" i="12"/>
  <c r="P19" i="6"/>
  <c r="L19" i="6"/>
  <c r="O19" i="6"/>
  <c r="G41" i="6"/>
  <c r="G15" i="6" s="1"/>
  <c r="D18" i="14"/>
  <c r="F18" i="14"/>
  <c r="E18" i="14"/>
  <c r="H30" i="6"/>
  <c r="N41" i="6"/>
  <c r="N15" i="6" s="1"/>
  <c r="M41" i="6"/>
  <c r="M15" i="6" s="1"/>
  <c r="I41" i="6"/>
  <c r="I15" i="6" s="1"/>
  <c r="E41" i="6"/>
  <c r="F41" i="6"/>
  <c r="O40" i="6"/>
  <c r="O39" i="6"/>
  <c r="O38" i="6"/>
  <c r="O37" i="6"/>
  <c r="L39" i="6"/>
  <c r="L38" i="6"/>
  <c r="K39" i="6"/>
  <c r="P36" i="6"/>
  <c r="P31" i="6"/>
  <c r="P32" i="6"/>
  <c r="P30" i="6"/>
  <c r="L9" i="6"/>
  <c r="L11" i="6"/>
  <c r="L40" i="6"/>
  <c r="K40" i="6"/>
  <c r="H40" i="6"/>
  <c r="K38" i="6"/>
  <c r="H38" i="6"/>
  <c r="O36" i="6"/>
  <c r="H36" i="6"/>
  <c r="O32" i="6"/>
  <c r="K32" i="6"/>
  <c r="L32" i="6"/>
  <c r="O31" i="6"/>
  <c r="K31" i="6"/>
  <c r="L31" i="6"/>
  <c r="O30" i="6"/>
  <c r="K30" i="6"/>
  <c r="L30" i="6"/>
  <c r="K36" i="6" l="1"/>
  <c r="L36" i="6"/>
  <c r="G23" i="6"/>
  <c r="H13" i="6" s="1"/>
  <c r="Q30" i="6"/>
  <c r="O41" i="6"/>
  <c r="J41" i="6"/>
  <c r="J15" i="6" s="1"/>
  <c r="L37" i="6"/>
  <c r="K37" i="6"/>
  <c r="H12" i="6" l="1"/>
  <c r="H15" i="6"/>
  <c r="H11" i="6"/>
  <c r="H8" i="6"/>
  <c r="H10" i="6"/>
  <c r="L41" i="6"/>
  <c r="H20" i="6"/>
  <c r="H7" i="6"/>
  <c r="H19" i="6"/>
  <c r="H6" i="6"/>
  <c r="H18" i="6"/>
  <c r="H17" i="6"/>
  <c r="H16" i="6"/>
  <c r="H9" i="6"/>
  <c r="O15" i="6"/>
  <c r="P15" i="6"/>
  <c r="L15" i="6"/>
  <c r="E23" i="6" l="1"/>
  <c r="P17" i="6" l="1"/>
  <c r="O17" i="6"/>
  <c r="L17" i="6"/>
  <c r="P16" i="6"/>
  <c r="O16" i="6"/>
  <c r="L16" i="6"/>
  <c r="J26" i="6" l="1"/>
  <c r="I26" i="6"/>
  <c r="G26" i="6"/>
  <c r="I25" i="6"/>
  <c r="G25" i="6"/>
  <c r="H14" i="6" s="1"/>
  <c r="I23" i="6"/>
  <c r="P22" i="6"/>
  <c r="O22" i="6"/>
  <c r="L22" i="6"/>
  <c r="V21" i="6"/>
  <c r="P21" i="6"/>
  <c r="O21" i="6"/>
  <c r="L21" i="6"/>
  <c r="P18" i="6"/>
  <c r="O18" i="6"/>
  <c r="L18" i="6"/>
  <c r="V14" i="6"/>
  <c r="U12" i="6"/>
  <c r="T12" i="6"/>
  <c r="S12" i="6"/>
  <c r="O12" i="6"/>
  <c r="L12" i="6"/>
  <c r="V11" i="6"/>
  <c r="O11" i="6"/>
  <c r="V9" i="6"/>
  <c r="P9" i="6"/>
  <c r="O9" i="6"/>
  <c r="V7" i="6"/>
  <c r="O7" i="6"/>
  <c r="M23" i="6"/>
  <c r="V6" i="6"/>
  <c r="P6" i="6"/>
  <c r="O6" i="6"/>
  <c r="L6" i="6"/>
  <c r="H22" i="6" l="1"/>
  <c r="V12" i="6"/>
  <c r="Q26" i="6"/>
  <c r="Q16" i="6" s="1"/>
  <c r="O23" i="6"/>
  <c r="P7" i="6"/>
  <c r="J25" i="6"/>
  <c r="Q25" i="6" s="1"/>
  <c r="Q6" i="6" s="1"/>
  <c r="L7" i="6"/>
  <c r="L23" i="6" s="1"/>
  <c r="J23" i="6"/>
  <c r="K13" i="6" s="1"/>
  <c r="N23" i="6"/>
  <c r="H21" i="6"/>
  <c r="K14" i="7"/>
  <c r="J14" i="7"/>
  <c r="G14" i="7"/>
  <c r="F14" i="7"/>
  <c r="D14" i="7"/>
  <c r="C14" i="7"/>
  <c r="L13" i="7"/>
  <c r="I13" i="7"/>
  <c r="L11" i="7"/>
  <c r="I11" i="7"/>
  <c r="L10" i="7"/>
  <c r="I10" i="7"/>
  <c r="L9" i="7"/>
  <c r="I9" i="7"/>
  <c r="L8" i="7"/>
  <c r="I8" i="7"/>
  <c r="L7" i="7"/>
  <c r="I7" i="7"/>
  <c r="L6" i="7"/>
  <c r="I6" i="7"/>
  <c r="L5" i="7"/>
  <c r="I5" i="7"/>
  <c r="E10" i="7" l="1"/>
  <c r="E9" i="7"/>
  <c r="E5" i="7"/>
  <c r="E13" i="7"/>
  <c r="E8" i="7"/>
  <c r="E12" i="7"/>
  <c r="E7" i="7"/>
  <c r="E11" i="7"/>
  <c r="E6" i="7"/>
  <c r="M14" i="7"/>
  <c r="H9" i="7"/>
  <c r="H11" i="7"/>
  <c r="H13" i="7"/>
  <c r="H7" i="7"/>
  <c r="H5" i="7"/>
  <c r="H12" i="7"/>
  <c r="H6" i="7"/>
  <c r="H10" i="7"/>
  <c r="H8" i="7"/>
  <c r="K8" i="6"/>
  <c r="K10" i="6"/>
  <c r="K20" i="6"/>
  <c r="K6" i="6"/>
  <c r="K19" i="6"/>
  <c r="K18" i="6"/>
  <c r="K17" i="6"/>
  <c r="K16" i="6"/>
  <c r="K7" i="6"/>
  <c r="K9" i="6"/>
  <c r="K15" i="6"/>
  <c r="H23" i="6"/>
  <c r="P23" i="6"/>
  <c r="K12" i="6"/>
  <c r="K21" i="6"/>
  <c r="K11" i="6"/>
  <c r="K22" i="6"/>
  <c r="Q23" i="6"/>
  <c r="L14" i="7"/>
  <c r="I14" i="7"/>
  <c r="E14" i="7" l="1"/>
  <c r="K23" i="6"/>
  <c r="H14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tc={357923EE-2AF2-4D40-B3AD-B0B2C1049E74}</author>
    <author>tc={82B36CBC-6F00-424F-B2EF-FA9E836CB29B}</author>
    <author>tc={86D0CDEB-E45D-4828-B2F9-B7489FA36251}</author>
    <author>tc={E94A4D97-A934-47B0-9410-3BEC420AB3C3}</author>
    <author>tc={A6F191A7-7464-495B-AA95-7C4678C87A0E}</author>
  </authors>
  <commentList>
    <comment ref="L4" authorId="0" shapeId="0" xr:uid="{357923EE-2AF2-4D40-B3AD-B0B2C1049E74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차액 서식 확인 필요 
a-b인지 b-a인지
</t>
      </text>
    </comment>
    <comment ref="J15" authorId="1" shapeId="0" xr:uid="{82B36CBC-6F00-424F-B2EF-FA9E836CB29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10.22 전시패키지 10만원 마이너스 반영 수정</t>
      </text>
    </comment>
    <comment ref="G19" authorId="2" shapeId="0" xr:uid="{86D0CDEB-E45D-4828-B2F9-B7489FA3625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정산완료전 추정금액</t>
      </text>
    </comment>
    <comment ref="F32" authorId="3" shapeId="0" xr:uid="{E94A4D97-A934-47B0-9410-3BEC420AB3C3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예경사업 총 부대비, 예비비, 회계검증 수수료 포함 </t>
      </text>
    </comment>
    <comment ref="Z36" authorId="4" shapeId="0" xr:uid="{A6F191A7-7464-495B-AA95-7C4678C87A0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10.22 작성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tc={F3CAA57A-89DA-4ADB-97A1-9644C1678945}</author>
    <author>tc={673BF304-AD50-4DAB-B7B6-79199836A1E9}</author>
    <author>tc={063B3E54-27EE-45A6-8085-96BF532F21D0}</author>
    <author>tc={3BEFCD00-3BE6-493C-A980-60676502FC4F}</author>
    <author>tc={69B1ECCD-391E-4F1B-8D79-88DDADB07C25}</author>
  </authors>
  <commentList>
    <comment ref="L4" authorId="0" shapeId="0" xr:uid="{F3CAA57A-89DA-4ADB-97A1-9644C1678945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차액 서식 확인 필요 
a-b인지 b-a인지
</t>
      </text>
    </comment>
    <comment ref="I15" authorId="1" shapeId="0" xr:uid="{673BF304-AD50-4DAB-B7B6-79199836A1E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브런치패키지(408000원) 판매수수료로 정산</t>
      </text>
    </comment>
    <comment ref="G19" authorId="2" shapeId="0" xr:uid="{063B3E54-27EE-45A6-8085-96BF532F21D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정산완료전 추정금액</t>
      </text>
    </comment>
    <comment ref="F32" authorId="3" shapeId="0" xr:uid="{3BEFCD00-3BE6-493C-A980-60676502FC4F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예경사업 총 부대비, 예비비, 회계검증 수수료 포함 </t>
      </text>
    </comment>
    <comment ref="Y41" authorId="4" shapeId="0" xr:uid="{69B1ECCD-391E-4F1B-8D79-88DDADB07C2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브런치패키지는 판매수수료로 정산됨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김해진</author>
  </authors>
  <commentList>
    <comment ref="G8" authorId="0" shapeId="0" xr:uid="{00000000-0006-0000-0500-000001000000}">
      <text>
        <r>
          <rPr>
            <b/>
            <sz val="9"/>
            <color indexed="81"/>
            <rFont val="돋움"/>
            <family val="3"/>
            <charset val="129"/>
          </rPr>
          <t>김해진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티켓매출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브런치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매출
</t>
        </r>
        <r>
          <rPr>
            <sz val="9"/>
            <color indexed="81"/>
            <rFont val="Tahoma"/>
            <family val="2"/>
          </rPr>
          <t>+MD</t>
        </r>
        <r>
          <rPr>
            <sz val="9"/>
            <color indexed="81"/>
            <rFont val="돋움"/>
            <family val="3"/>
            <charset val="129"/>
          </rPr>
          <t>상품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</t>
        </r>
      </text>
    </comment>
    <comment ref="G22" authorId="0" shapeId="0" xr:uid="{2561B764-8FED-427C-BCEE-D168F32F6467}">
      <text>
        <r>
          <rPr>
            <b/>
            <sz val="9"/>
            <color indexed="81"/>
            <rFont val="돋움"/>
            <family val="3"/>
            <charset val="129"/>
          </rPr>
          <t>김해진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티켓매출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브런치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매출
</t>
        </r>
        <r>
          <rPr>
            <sz val="9"/>
            <color indexed="81"/>
            <rFont val="Tahoma"/>
            <family val="2"/>
          </rPr>
          <t>+MD</t>
        </r>
        <r>
          <rPr>
            <sz val="9"/>
            <color indexed="81"/>
            <rFont val="돋움"/>
            <family val="3"/>
            <charset val="129"/>
          </rPr>
          <t>상품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</t>
        </r>
      </text>
    </comment>
  </commentList>
</comments>
</file>

<file path=xl/sharedStrings.xml><?xml version="1.0" encoding="utf-8"?>
<sst xmlns="http://schemas.openxmlformats.org/spreadsheetml/2006/main" count="495" uniqueCount="231">
  <si>
    <t>2025 공연사업 운영 결과</t>
    <phoneticPr fontId="2" type="noConversion"/>
  </si>
  <si>
    <t>(단위 : 천원)</t>
    <phoneticPr fontId="2" type="noConversion"/>
  </si>
  <si>
    <t>구분</t>
    <phoneticPr fontId="2" type="noConversion"/>
  </si>
  <si>
    <t>진행월</t>
    <phoneticPr fontId="2" type="noConversion"/>
  </si>
  <si>
    <t>횟수</t>
    <phoneticPr fontId="2" type="noConversion"/>
  </si>
  <si>
    <t>예산</t>
    <phoneticPr fontId="2" type="noConversion"/>
  </si>
  <si>
    <t>지출</t>
    <phoneticPr fontId="2" type="noConversion"/>
  </si>
  <si>
    <t>판매
수수료</t>
    <phoneticPr fontId="2" type="noConversion"/>
  </si>
  <si>
    <t>매출</t>
    <phoneticPr fontId="2" type="noConversion"/>
  </si>
  <si>
    <t xml:space="preserve">차액
(a-b) </t>
    <phoneticPr fontId="2" type="noConversion"/>
  </si>
  <si>
    <t>인원수</t>
    <phoneticPr fontId="2" type="noConversion"/>
  </si>
  <si>
    <t>수익율</t>
    <phoneticPr fontId="2" type="noConversion"/>
  </si>
  <si>
    <t>전표실적(a)</t>
    <phoneticPr fontId="2" type="noConversion"/>
  </si>
  <si>
    <t>비율</t>
    <phoneticPr fontId="2" type="noConversion"/>
  </si>
  <si>
    <t>정산서(b)</t>
    <phoneticPr fontId="2" type="noConversion"/>
  </si>
  <si>
    <t>판매</t>
    <phoneticPr fontId="2" type="noConversion"/>
  </si>
  <si>
    <t>초대</t>
    <phoneticPr fontId="2" type="noConversion"/>
  </si>
  <si>
    <t>계</t>
    <phoneticPr fontId="2" type="noConversion"/>
  </si>
  <si>
    <t xml:space="preserve">예
술
성
</t>
    <phoneticPr fontId="2" type="noConversion"/>
  </si>
  <si>
    <t>신년음악회</t>
    <phoneticPr fontId="2" type="noConversion"/>
  </si>
  <si>
    <t>1월</t>
    <phoneticPr fontId="2" type="noConversion"/>
  </si>
  <si>
    <t>브런치 1</t>
    <phoneticPr fontId="2" type="noConversion"/>
  </si>
  <si>
    <t>클래식 시리즈1(백건우와 모차르트)</t>
    <phoneticPr fontId="2" type="noConversion"/>
  </si>
  <si>
    <t>3월</t>
    <phoneticPr fontId="2" type="noConversion"/>
  </si>
  <si>
    <t>브런치 2</t>
    <phoneticPr fontId="2" type="noConversion"/>
  </si>
  <si>
    <t>협력사업2(아파나도르)</t>
    <phoneticPr fontId="2" type="noConversion"/>
  </si>
  <si>
    <t>4월</t>
    <phoneticPr fontId="2" type="noConversion"/>
  </si>
  <si>
    <t>공모사업(창작발레갓,꽃의비밀,쇼팽)</t>
    <phoneticPr fontId="2" type="noConversion"/>
  </si>
  <si>
    <t>5/7/9월</t>
    <phoneticPr fontId="2" type="noConversion"/>
  </si>
  <si>
    <t>브런치 3</t>
    <phoneticPr fontId="2" type="noConversion"/>
  </si>
  <si>
    <t>문화나눔콘서트(예울마루 위크)</t>
  </si>
  <si>
    <t>5월</t>
    <phoneticPr fontId="2" type="noConversion"/>
  </si>
  <si>
    <t>헬로 시리즈</t>
  </si>
  <si>
    <t>11월</t>
  </si>
  <si>
    <t>브런치 4</t>
    <phoneticPr fontId="2" type="noConversion"/>
  </si>
  <si>
    <t>클래식시리즈2(실내악 페스티벌)</t>
  </si>
  <si>
    <t>10월</t>
  </si>
  <si>
    <t>연극(내일은 내일에게, 청소년)</t>
  </si>
  <si>
    <t>6회</t>
  </si>
  <si>
    <t>실내악 2</t>
    <phoneticPr fontId="2" type="noConversion"/>
  </si>
  <si>
    <t>크리스마스 1(발레-호두까기인형)</t>
  </si>
  <si>
    <t>12월</t>
  </si>
  <si>
    <t>2회</t>
  </si>
  <si>
    <t>실내악 1</t>
    <phoneticPr fontId="2" type="noConversion"/>
  </si>
  <si>
    <t>브런치 콘서트</t>
    <phoneticPr fontId="2" type="noConversion"/>
  </si>
  <si>
    <t>3/5/7/9/12월</t>
    <phoneticPr fontId="2" type="noConversion"/>
  </si>
  <si>
    <t>상
업
성</t>
    <phoneticPr fontId="2" type="noConversion"/>
  </si>
  <si>
    <t>아동극시리즈1 (넌 특별하단다)</t>
    <phoneticPr fontId="2" type="noConversion"/>
  </si>
  <si>
    <t>뮤지컬1(명성황후)</t>
    <phoneticPr fontId="2" type="noConversion"/>
  </si>
  <si>
    <t>6월</t>
    <phoneticPr fontId="2" type="noConversion"/>
  </si>
  <si>
    <t>아동극시리즈2 (넘버블록스)</t>
  </si>
  <si>
    <t>8월</t>
  </si>
  <si>
    <t>아동극시리즈3(설민석의한국사대모험)</t>
  </si>
  <si>
    <t>9월</t>
  </si>
  <si>
    <t>협력사업1(뮤지컬 시카고)</t>
    <phoneticPr fontId="2" type="noConversion"/>
  </si>
  <si>
    <t>2월</t>
    <phoneticPr fontId="2" type="noConversion"/>
  </si>
  <si>
    <t>뮤지컬2 (킹키부츠)</t>
  </si>
  <si>
    <t>11월</t>
    <phoneticPr fontId="2" type="noConversion"/>
  </si>
  <si>
    <t>무풍</t>
    <phoneticPr fontId="2" type="noConversion"/>
  </si>
  <si>
    <t>청소년뮤지컬 (김종욱찾기)</t>
  </si>
  <si>
    <t>10회</t>
  </si>
  <si>
    <t>합계</t>
    <phoneticPr fontId="2" type="noConversion"/>
  </si>
  <si>
    <t>공모사업-창작발레갓</t>
  </si>
  <si>
    <t>5월</t>
  </si>
  <si>
    <t>공모사업-꽃의비밀</t>
  </si>
  <si>
    <t>7월</t>
  </si>
  <si>
    <t>공모사업-쇼팽</t>
  </si>
  <si>
    <t>정산서</t>
  </si>
  <si>
    <t>브런치패키지</t>
  </si>
  <si>
    <t>전시패키지</t>
  </si>
  <si>
    <t>실매출</t>
  </si>
  <si>
    <t>브런치콘서트 &lt;오전에 즐기는 클래식&gt;</t>
  </si>
  <si>
    <t>3월</t>
  </si>
  <si>
    <t>브런치콘서트 &lt;냠냠클래식&gt;</t>
  </si>
  <si>
    <t>브런치콘서트 &lt;썸머 페스티벌&gt;</t>
  </si>
  <si>
    <t>브런치콘서트 &lt;꼬리에 꼬리를 무는 클래식&gt;</t>
  </si>
  <si>
    <t>브런치콘서트 &lt;크리스마스가 우리 마을에&gt;</t>
  </si>
  <si>
    <t>2025 전시사업 운영 결과</t>
    <phoneticPr fontId="2" type="noConversion"/>
  </si>
  <si>
    <t>2026.01.25 수정</t>
    <phoneticPr fontId="2" type="noConversion"/>
  </si>
  <si>
    <t>유료
관람객</t>
    <phoneticPr fontId="2" type="noConversion"/>
  </si>
  <si>
    <t>무료
관람객</t>
    <phoneticPr fontId="2" type="noConversion"/>
  </si>
  <si>
    <t>관람객
합계</t>
    <phoneticPr fontId="2" type="noConversion"/>
  </si>
  <si>
    <t>어린이 미술전 &lt;냠냠&gt;</t>
    <phoneticPr fontId="2" type="noConversion"/>
  </si>
  <si>
    <t>6기 프리뷰전</t>
    <phoneticPr fontId="2" type="noConversion"/>
  </si>
  <si>
    <t>장도 기획전시 &lt;HELLO, 고래야&gt;</t>
    <phoneticPr fontId="2" type="noConversion"/>
  </si>
  <si>
    <t>예울마루 위크</t>
    <phoneticPr fontId="2" type="noConversion"/>
  </si>
  <si>
    <t>여름방학 공동 기획전시</t>
    <phoneticPr fontId="2" type="noConversion"/>
  </si>
  <si>
    <t>6기 단기 입주작가전</t>
    <phoneticPr fontId="2" type="noConversion"/>
  </si>
  <si>
    <t>금호 협력기획전</t>
    <phoneticPr fontId="2" type="noConversion"/>
  </si>
  <si>
    <t>6기 입주작가전</t>
    <phoneticPr fontId="2" type="noConversion"/>
  </si>
  <si>
    <t>지역작가 공모전</t>
    <phoneticPr fontId="2" type="noConversion"/>
  </si>
  <si>
    <t>2026.01.25 원문</t>
    <phoneticPr fontId="2" type="noConversion"/>
  </si>
  <si>
    <t>판매수수료</t>
    <phoneticPr fontId="2" type="noConversion"/>
  </si>
  <si>
    <t>유료</t>
    <phoneticPr fontId="2" type="noConversion"/>
  </si>
  <si>
    <t>무료</t>
    <phoneticPr fontId="2" type="noConversion"/>
  </si>
  <si>
    <t>총액대비 비율</t>
    <phoneticPr fontId="2" type="noConversion"/>
  </si>
  <si>
    <t>정산서 기준(b)</t>
    <phoneticPr fontId="2" type="noConversion"/>
  </si>
  <si>
    <t>2025 교육사업 운영결과</t>
    <phoneticPr fontId="2" type="noConversion"/>
  </si>
  <si>
    <t>(단위 : 천원, 명, %)</t>
  </si>
  <si>
    <t>예산</t>
  </si>
  <si>
    <t>지출</t>
  </si>
  <si>
    <t>매출</t>
  </si>
  <si>
    <t>차액</t>
  </si>
  <si>
    <t>수강인원</t>
  </si>
  <si>
    <t>수익률*</t>
    <phoneticPr fontId="2" type="noConversion"/>
  </si>
  <si>
    <t>전표실적(a)</t>
  </si>
  <si>
    <t>정산서 기준(b)</t>
  </si>
  <si>
    <t>(a-b)</t>
  </si>
  <si>
    <t>화요살롱</t>
  </si>
  <si>
    <t>아트스쿨</t>
  </si>
  <si>
    <t>아트클럽</t>
  </si>
  <si>
    <t>공통예산</t>
  </si>
  <si>
    <t>-</t>
    <phoneticPr fontId="2" type="noConversion"/>
  </si>
  <si>
    <t>클래스 사업비 소계</t>
  </si>
  <si>
    <t>희망에너지교실</t>
  </si>
  <si>
    <t>새롬교실</t>
  </si>
  <si>
    <t>판매수수료</t>
  </si>
  <si>
    <t>-</t>
  </si>
  <si>
    <t>합 계</t>
  </si>
  <si>
    <t xml:space="preserve">*수익률은 판매수수료를 지출에 포함한 계산값 </t>
    <phoneticPr fontId="2" type="noConversion"/>
  </si>
  <si>
    <t>2025 교육사업 세부내용</t>
    <phoneticPr fontId="2" type="noConversion"/>
  </si>
  <si>
    <t>(단위 : 원, 명, %)</t>
    <phoneticPr fontId="2" type="noConversion"/>
  </si>
  <si>
    <t>프로그램</t>
    <phoneticPr fontId="2" type="noConversion"/>
  </si>
  <si>
    <t>수강인원</t>
    <phoneticPr fontId="2" type="noConversion"/>
  </si>
  <si>
    <t>수익율 소계</t>
    <phoneticPr fontId="2" type="noConversion"/>
  </si>
  <si>
    <t>예산기안</t>
    <phoneticPr fontId="2" type="noConversion"/>
  </si>
  <si>
    <t>실제집행</t>
    <phoneticPr fontId="2" type="noConversion"/>
  </si>
  <si>
    <t>판매수수료(A)</t>
    <phoneticPr fontId="2" type="noConversion"/>
  </si>
  <si>
    <t>순 매출(B)</t>
    <phoneticPr fontId="2" type="noConversion"/>
  </si>
  <si>
    <t>수입(A+B)</t>
    <phoneticPr fontId="2" type="noConversion"/>
  </si>
  <si>
    <t>수입소계</t>
    <phoneticPr fontId="2" type="noConversion"/>
  </si>
  <si>
    <t>화요살롱</t>
    <phoneticPr fontId="2" type="noConversion"/>
  </si>
  <si>
    <t>이연</t>
    <phoneticPr fontId="2" type="noConversion"/>
  </si>
  <si>
    <t>이슬아</t>
    <phoneticPr fontId="2" type="noConversion"/>
  </si>
  <si>
    <t>장진</t>
    <phoneticPr fontId="2" type="noConversion"/>
  </si>
  <si>
    <t>우주먼지</t>
    <phoneticPr fontId="2" type="noConversion"/>
  </si>
  <si>
    <t>전회차</t>
    <phoneticPr fontId="2" type="noConversion"/>
  </si>
  <si>
    <t>아트스쿨</t>
    <phoneticPr fontId="2" type="noConversion"/>
  </si>
  <si>
    <t>어린이뮤지컬(화요)</t>
    <phoneticPr fontId="2" type="noConversion"/>
  </si>
  <si>
    <t>어린이뮤지컬(수요)</t>
    <phoneticPr fontId="2" type="noConversion"/>
  </si>
  <si>
    <t>어린이뮤지컬(영어)</t>
    <phoneticPr fontId="2" type="noConversion"/>
  </si>
  <si>
    <t>키즈발레4-5세</t>
    <phoneticPr fontId="2" type="noConversion"/>
  </si>
  <si>
    <t>키즈발레6-7세</t>
    <phoneticPr fontId="2" type="noConversion"/>
  </si>
  <si>
    <t>아트클럽</t>
    <phoneticPr fontId="2" type="noConversion"/>
  </si>
  <si>
    <t>뮤지컬No.1</t>
    <phoneticPr fontId="2" type="noConversion"/>
  </si>
  <si>
    <t>월간드로잉1</t>
    <phoneticPr fontId="2" type="noConversion"/>
  </si>
  <si>
    <t>월간드로잉2</t>
    <phoneticPr fontId="2" type="noConversion"/>
  </si>
  <si>
    <t>월간드로잉3</t>
    <phoneticPr fontId="2" type="noConversion"/>
  </si>
  <si>
    <t>공통예산</t>
    <phoneticPr fontId="2" type="noConversion"/>
  </si>
  <si>
    <t>홍보비, 외주용역비 등</t>
    <phoneticPr fontId="2" type="noConversion"/>
  </si>
  <si>
    <t>공모사업</t>
    <phoneticPr fontId="2" type="noConversion"/>
  </si>
  <si>
    <t>희망에너지교실</t>
    <phoneticPr fontId="2" type="noConversion"/>
  </si>
  <si>
    <t>새롬교실</t>
    <phoneticPr fontId="2" type="noConversion"/>
  </si>
  <si>
    <t>합 계</t>
    <phoneticPr fontId="2" type="noConversion"/>
  </si>
  <si>
    <t>*수익률은 판매수수료를 수입에 포함한 계산값</t>
    <phoneticPr fontId="2" type="noConversion"/>
  </si>
  <si>
    <t>2025 문화나눔 운영 결과</t>
  </si>
  <si>
    <t>2025.10.22</t>
    <phoneticPr fontId="2" type="noConversion"/>
  </si>
  <si>
    <t>파트</t>
  </si>
  <si>
    <t>NO.</t>
  </si>
  <si>
    <t>콘텐츠명</t>
  </si>
  <si>
    <t>일시</t>
  </si>
  <si>
    <t>요청인원</t>
  </si>
  <si>
    <t>관람인원</t>
  </si>
  <si>
    <t>GSC인솔자</t>
  </si>
  <si>
    <t>비고</t>
  </si>
  <si>
    <t>공연</t>
  </si>
  <si>
    <t>계</t>
  </si>
  <si>
    <t>브런치콘서트</t>
  </si>
  <si>
    <t>2025. 3. 27(목) 11:00</t>
  </si>
  <si>
    <t>김한울</t>
  </si>
  <si>
    <t>다문화, 지역아동센터</t>
  </si>
  <si>
    <t>아파나도르</t>
  </si>
  <si>
    <t>2025. 4. 24(목) 19:30</t>
  </si>
  <si>
    <t>해양경찰교육원2 , 여수교육지원청 18, 여수YMCA 40</t>
  </si>
  <si>
    <t>2025. 5. 22(목) 11:00</t>
    <phoneticPr fontId="2" type="noConversion"/>
  </si>
  <si>
    <t>해양경찰교육원생</t>
  </si>
  <si>
    <t>브런치콘서트</t>
    <phoneticPr fontId="2" type="noConversion"/>
  </si>
  <si>
    <t>2025. 7. 10(목) 11:00</t>
    <phoneticPr fontId="2" type="noConversion"/>
  </si>
  <si>
    <t>김한울</t>
    <phoneticPr fontId="2" type="noConversion"/>
  </si>
  <si>
    <t>GSC 퇴직사우회 4명, 사랑나눔터 조리사/봉사자 9명</t>
    <phoneticPr fontId="2" type="noConversion"/>
  </si>
  <si>
    <t>쇼팽 그리고 쇼팽</t>
  </si>
  <si>
    <t>2025. 9. 4(목) 19:30</t>
  </si>
  <si>
    <t>여수해수청 11명, 여수광양항만공사 20명</t>
  </si>
  <si>
    <t>2025. 9. 11(목) 11:00</t>
    <phoneticPr fontId="2" type="noConversion"/>
  </si>
  <si>
    <t>쌍봉복지관 16명, 여수시노인복지관 7명</t>
    <phoneticPr fontId="2" type="noConversion"/>
  </si>
  <si>
    <t>한국사대모험</t>
    <phoneticPr fontId="2" type="noConversion"/>
  </si>
  <si>
    <t>2025. 9.18(목)~20(토)</t>
    <phoneticPr fontId="2" type="noConversion"/>
  </si>
  <si>
    <t>여수시청소년수련관 '해솔아카데미' 참여 학생 및 가족</t>
    <phoneticPr fontId="2" type="noConversion"/>
  </si>
  <si>
    <t>실내악 페스티벌</t>
  </si>
  <si>
    <t>2025. 10. 17(금) 19:30</t>
  </si>
  <si>
    <t>한상범</t>
  </si>
  <si>
    <t>전남대 문화예술관련자</t>
  </si>
  <si>
    <t>2025. 10. 23(목) ~26(일)</t>
  </si>
  <si>
    <t>해경교육원, 청소년수련관, 해수청, 지력사회보장협의체, 
해경/전남경찰청, 소라복지관, 여수경찰서</t>
  </si>
  <si>
    <t>내일은 내일에게</t>
    <phoneticPr fontId="2" type="noConversion"/>
  </si>
  <si>
    <t>2025. 11. 27(목)~29(토)</t>
    <phoneticPr fontId="2" type="noConversion"/>
  </si>
  <si>
    <t>여수경찰서 정책자문단 참여 청소년, 학교폭력/가정폭력 피해 
학생</t>
    <phoneticPr fontId="2" type="noConversion"/>
  </si>
  <si>
    <t>아동센터, 복지관 등</t>
    <phoneticPr fontId="2" type="noConversion"/>
  </si>
  <si>
    <t>전시</t>
  </si>
  <si>
    <t>냠냠</t>
  </si>
  <si>
    <t>2025. 5. 14(수) 16:30</t>
  </si>
  <si>
    <t>삼육아동센터</t>
  </si>
  <si>
    <t>2025. 5. 15(목) 17:00</t>
  </si>
  <si>
    <t>그리스도아동센터</t>
  </si>
  <si>
    <t>2025. 5. 16(금) 13:00</t>
  </si>
  <si>
    <t>꿈쟁이 아동센터</t>
  </si>
  <si>
    <t>미평아동센터</t>
  </si>
  <si>
    <t>2025. 5. 17(토) 11:00</t>
  </si>
  <si>
    <t>국동아동센터</t>
  </si>
  <si>
    <t>2025. 5. 17(토) 15:00</t>
  </si>
  <si>
    <t>부름아동센터</t>
  </si>
  <si>
    <t>2025. 5. 20(화) 17:00</t>
  </si>
  <si>
    <t>쌍봉아동센터</t>
  </si>
  <si>
    <t>2025. 5. 21(수) 16:30</t>
  </si>
  <si>
    <t>여문아동센터</t>
  </si>
  <si>
    <t>2025. 5. 21(수) 17:00</t>
  </si>
  <si>
    <t>주사랑아동센터</t>
  </si>
  <si>
    <t>2025. 5. 23(금) 16:10</t>
  </si>
  <si>
    <t>연등아동센터</t>
  </si>
  <si>
    <t>2025. 5. 23(금) 16:30</t>
  </si>
  <si>
    <t>안산아동센터</t>
  </si>
  <si>
    <t>2025. 5. 23(금) 17:00</t>
  </si>
  <si>
    <t xml:space="preserve">꿈나무아동센터 </t>
  </si>
  <si>
    <t>여름방학전</t>
    <phoneticPr fontId="2" type="noConversion"/>
  </si>
  <si>
    <t>2025. 8. 6(수) 13:00</t>
    <phoneticPr fontId="2" type="noConversion"/>
  </si>
  <si>
    <t>이채연</t>
    <phoneticPr fontId="2" type="noConversion"/>
  </si>
  <si>
    <t>열린지역아동센터</t>
    <phoneticPr fontId="2" type="noConversion"/>
  </si>
  <si>
    <t>2025. 9. 20(토) 10:00</t>
    <phoneticPr fontId="2" type="noConversion"/>
  </si>
  <si>
    <t>여수경찰서 새롬교실 참여 학생</t>
    <phoneticPr fontId="2" type="noConversion"/>
  </si>
  <si>
    <t>교육</t>
  </si>
  <si>
    <t>없음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</si>
</sst>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-* #,##0.00_-;\-* #,##0.00_-;_-* &quot;-&quot;_-;_-@_-"/>
    <numFmt numFmtId="177" formatCode="#&quot;회&quot;"/>
    <numFmt numFmtId="178" formatCode="#,##0,"/>
    <numFmt numFmtId="179" formatCode="#.0&quot;%&quot;"/>
    <numFmt numFmtId="180" formatCode="#&quot;명&quot;"/>
    <numFmt numFmtId="181" formatCode="0.0"/>
    <numFmt numFmtId="182" formatCode="0_);[Red]\(0\)"/>
    <numFmt numFmtId="183" formatCode="0.00_ "/>
    <numFmt numFmtId="184" formatCode="0.0%"/>
  </numFmts>
  <fonts count="4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11"/>
      <color theme="0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rgb="FF006CBE"/>
      <name val="Consolas"/>
      <family val="3"/>
    </font>
    <font>
      <b/>
      <sz val="11"/>
      <color rgb="FFFF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8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sz val="10"/>
      <color rgb="FF000000"/>
      <name val="맑은 고딕"/>
      <family val="2"/>
      <charset val="129"/>
      <scheme val="minor"/>
    </font>
    <font>
      <sz val="11"/>
      <color rgb="FF000000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b/>
      <sz val="11"/>
      <color rgb="FF00B050"/>
      <name val="맑은 고딕"/>
      <family val="3"/>
      <charset val="129"/>
    </font>
    <font>
      <sz val="11"/>
      <color rgb="FF0000FF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Malgun Gothic"/>
      <family val="3"/>
      <charset val="129"/>
    </font>
    <font>
      <b/>
      <sz val="18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</font>
    <font>
      <b/>
      <sz val="1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b/>
      <sz val="16"/>
      <color rgb="FF000000"/>
      <name val="Malgun Gothic"/>
      <family val="3"/>
      <charset val="129"/>
    </font>
    <font>
      <b/>
      <sz val="18"/>
      <color rgb="FF000000"/>
      <name val="Malgun Gothic"/>
      <family val="3"/>
      <charset val="129"/>
    </font>
    <font>
      <b/>
      <sz val="12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EEEFDD"/>
        <bgColor rgb="FF000000"/>
      </patternFill>
    </fill>
    <fill>
      <patternFill patternType="solid">
        <fgColor rgb="FFEEEFDD"/>
        <bgColor indexed="64"/>
      </patternFill>
    </fill>
  </fills>
  <borders count="14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double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FF"/>
      </left>
      <right/>
      <top style="medium">
        <color rgb="FF0000FF"/>
      </top>
      <bottom/>
      <diagonal/>
    </border>
    <border>
      <left/>
      <right style="thin">
        <color indexed="64"/>
      </right>
      <top style="medium">
        <color rgb="FF0000FF"/>
      </top>
      <bottom/>
      <diagonal/>
    </border>
    <border>
      <left style="thin">
        <color indexed="64"/>
      </left>
      <right style="thin">
        <color indexed="64"/>
      </right>
      <top style="medium">
        <color rgb="FF0000FF"/>
      </top>
      <bottom/>
      <diagonal/>
    </border>
    <border>
      <left style="thin">
        <color indexed="64"/>
      </left>
      <right style="medium">
        <color rgb="FF0000FF"/>
      </right>
      <top style="medium">
        <color rgb="FF0000FF"/>
      </top>
      <bottom/>
      <diagonal/>
    </border>
    <border>
      <left style="medium">
        <color rgb="FF0000FF"/>
      </left>
      <right style="thin">
        <color indexed="64"/>
      </right>
      <top style="medium">
        <color rgb="FF0000FF"/>
      </top>
      <bottom/>
      <diagonal/>
    </border>
    <border>
      <left style="thin">
        <color indexed="64"/>
      </left>
      <right/>
      <top style="medium">
        <color rgb="FF0000FF"/>
      </top>
      <bottom style="thin">
        <color indexed="64"/>
      </bottom>
      <diagonal/>
    </border>
    <border>
      <left/>
      <right style="thin">
        <color indexed="64"/>
      </right>
      <top style="medium">
        <color rgb="FF0000FF"/>
      </top>
      <bottom style="thin">
        <color indexed="64"/>
      </bottom>
      <diagonal/>
    </border>
    <border>
      <left style="medium">
        <color rgb="FF0000FF"/>
      </left>
      <right/>
      <top style="medium">
        <color rgb="FF0000FF"/>
      </top>
      <bottom style="thin">
        <color indexed="64"/>
      </bottom>
      <diagonal/>
    </border>
    <border>
      <left/>
      <right/>
      <top style="medium">
        <color rgb="FF0000FF"/>
      </top>
      <bottom style="thin">
        <color indexed="64"/>
      </bottom>
      <diagonal/>
    </border>
    <border>
      <left/>
      <right style="medium">
        <color rgb="FF0000FF"/>
      </right>
      <top style="medium">
        <color rgb="FF0000FF"/>
      </top>
      <bottom style="thin">
        <color indexed="64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/>
      <diagonal/>
    </border>
    <border>
      <left style="medium">
        <color rgb="FF0000FF"/>
      </left>
      <right/>
      <top/>
      <bottom style="medium">
        <color rgb="FF0000FF"/>
      </bottom>
      <diagonal/>
    </border>
    <border>
      <left/>
      <right style="thin">
        <color auto="1"/>
      </right>
      <top/>
      <bottom style="medium">
        <color rgb="FF0000FF"/>
      </bottom>
      <diagonal/>
    </border>
    <border>
      <left style="thin">
        <color indexed="64"/>
      </left>
      <right style="thin">
        <color indexed="64"/>
      </right>
      <top/>
      <bottom style="medium">
        <color rgb="FF0000FF"/>
      </bottom>
      <diagonal/>
    </border>
    <border>
      <left style="thin">
        <color indexed="64"/>
      </left>
      <right style="medium">
        <color rgb="FF0000FF"/>
      </right>
      <top/>
      <bottom style="medium">
        <color rgb="FF0000FF"/>
      </bottom>
      <diagonal/>
    </border>
    <border>
      <left style="medium">
        <color rgb="FF0000FF"/>
      </left>
      <right style="thin">
        <color indexed="64"/>
      </right>
      <top/>
      <bottom style="medium">
        <color rgb="FF0000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FF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rgb="FF0000FF"/>
      </right>
      <top style="thin">
        <color auto="1"/>
      </top>
      <bottom/>
      <diagonal/>
    </border>
    <border>
      <left style="medium">
        <color rgb="FF0000FF"/>
      </left>
      <right style="medium">
        <color rgb="FF0000FF"/>
      </right>
      <top/>
      <bottom style="medium">
        <color rgb="FF0000FF"/>
      </bottom>
      <diagonal/>
    </border>
    <border>
      <left style="thin">
        <color indexed="64"/>
      </left>
      <right style="thin">
        <color indexed="64"/>
      </right>
      <top style="medium">
        <color rgb="FF0000FF"/>
      </top>
      <bottom style="thin">
        <color indexed="64"/>
      </bottom>
      <diagonal/>
    </border>
    <border>
      <left style="thin">
        <color indexed="64"/>
      </left>
      <right style="medium">
        <color rgb="FF0000FF"/>
      </right>
      <top style="medium">
        <color rgb="FF0000FF"/>
      </top>
      <bottom style="thin">
        <color indexed="64"/>
      </bottom>
      <diagonal/>
    </border>
    <border>
      <left style="medium">
        <color rgb="FF0000FF"/>
      </left>
      <right style="thin">
        <color indexed="64"/>
      </right>
      <top style="medium">
        <color rgb="FF0000FF"/>
      </top>
      <bottom style="thin">
        <color indexed="64"/>
      </bottom>
      <diagonal/>
    </border>
    <border>
      <left style="medium">
        <color rgb="FF0000FF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rgb="FF0000FF"/>
      </right>
      <top style="thin">
        <color auto="1"/>
      </top>
      <bottom style="thin">
        <color auto="1"/>
      </bottom>
      <diagonal/>
    </border>
    <border>
      <left style="medium">
        <color rgb="FF0000FF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0000FF"/>
      </right>
      <top style="thin">
        <color indexed="64"/>
      </top>
      <bottom style="thin">
        <color indexed="64"/>
      </bottom>
      <diagonal/>
    </border>
    <border>
      <left style="medium">
        <color rgb="FF0000FF"/>
      </left>
      <right style="medium">
        <color rgb="FF0000FF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FF"/>
      </right>
      <top/>
      <bottom style="thin">
        <color indexed="64"/>
      </bottom>
      <diagonal/>
    </border>
    <border>
      <left style="medium">
        <color rgb="FF0000FF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0000FF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FF"/>
      </bottom>
      <diagonal/>
    </border>
    <border>
      <left style="thin">
        <color indexed="64"/>
      </left>
      <right style="medium">
        <color rgb="FF0000FF"/>
      </right>
      <top style="thin">
        <color indexed="64"/>
      </top>
      <bottom style="medium">
        <color rgb="FF0000FF"/>
      </bottom>
      <diagonal/>
    </border>
    <border>
      <left style="medium">
        <color rgb="FF0000FF"/>
      </left>
      <right style="thin">
        <color indexed="64"/>
      </right>
      <top style="thin">
        <color indexed="64"/>
      </top>
      <bottom style="medium">
        <color rgb="FF0000FF"/>
      </bottom>
      <diagonal/>
    </border>
    <border>
      <left style="medium">
        <color rgb="FF0000FF"/>
      </left>
      <right/>
      <top style="medium">
        <color rgb="FF0000FF"/>
      </top>
      <bottom style="medium">
        <color rgb="FF0000FF"/>
      </bottom>
      <diagonal/>
    </border>
    <border>
      <left/>
      <right/>
      <top style="medium">
        <color rgb="FF0000FF"/>
      </top>
      <bottom style="medium">
        <color rgb="FF0000FF"/>
      </bottom>
      <diagonal/>
    </border>
    <border>
      <left/>
      <right style="thin">
        <color auto="1"/>
      </right>
      <top style="medium">
        <color rgb="FF0000FF"/>
      </top>
      <bottom style="medium">
        <color rgb="FF0000FF"/>
      </bottom>
      <diagonal/>
    </border>
    <border>
      <left style="thin">
        <color indexed="64"/>
      </left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 style="medium">
        <color rgb="FF0000FF"/>
      </left>
      <right style="thin">
        <color auto="1"/>
      </right>
      <top style="medium">
        <color rgb="FF0000FF"/>
      </top>
      <bottom style="medium">
        <color rgb="FF0000FF"/>
      </bottom>
      <diagonal/>
    </border>
    <border>
      <left style="thin">
        <color indexed="64"/>
      </left>
      <right style="thin">
        <color indexed="64"/>
      </right>
      <top style="medium">
        <color rgb="FF0000FF"/>
      </top>
      <bottom style="medium">
        <color rgb="FF0000FF"/>
      </bottom>
      <diagonal/>
    </border>
    <border>
      <left/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rgb="FF0000FF"/>
      </right>
      <top style="thin">
        <color indexed="64"/>
      </top>
      <bottom/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/>
      <right style="medium">
        <color rgb="FF0000FF"/>
      </right>
      <top style="medium">
        <color rgb="FF0000FF"/>
      </top>
      <bottom/>
      <diagonal/>
    </border>
    <border>
      <left/>
      <right style="medium">
        <color rgb="FF0000FF"/>
      </right>
      <top/>
      <bottom style="medium">
        <color rgb="FF0000FF"/>
      </bottom>
      <diagonal/>
    </border>
    <border>
      <left/>
      <right/>
      <top style="medium">
        <color rgb="FF0000F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FF"/>
      </bottom>
      <diagonal/>
    </border>
    <border>
      <left/>
      <right style="thin">
        <color auto="1"/>
      </right>
      <top style="thin">
        <color rgb="FF000000"/>
      </top>
      <bottom style="medium">
        <color rgb="FF0000FF"/>
      </bottom>
      <diagonal/>
    </border>
    <border>
      <left/>
      <right style="medium">
        <color rgb="FF0000FF"/>
      </right>
      <top style="thin">
        <color rgb="FF000000"/>
      </top>
      <bottom style="medium">
        <color rgb="FF0000F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FF"/>
      </left>
      <right/>
      <top/>
      <bottom style="thin">
        <color indexed="64"/>
      </bottom>
      <diagonal/>
    </border>
    <border>
      <left/>
      <right/>
      <top style="thin">
        <color rgb="FF000000"/>
      </top>
      <bottom style="medium">
        <color rgb="FF0000FF"/>
      </bottom>
      <diagonal/>
    </border>
    <border>
      <left/>
      <right/>
      <top style="medium">
        <color indexed="64"/>
      </top>
      <bottom/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thin">
        <color indexed="64"/>
      </bottom>
      <diagonal/>
    </border>
    <border>
      <left/>
      <right style="medium">
        <color rgb="FF0000FF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rgb="FF0000FF"/>
      </right>
      <top/>
      <bottom/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530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41" fontId="3" fillId="0" borderId="0" xfId="1" applyFont="1">
      <alignment vertical="center"/>
    </xf>
    <xf numFmtId="41" fontId="0" fillId="0" borderId="0" xfId="1" applyFont="1">
      <alignment vertical="center"/>
    </xf>
    <xf numFmtId="41" fontId="4" fillId="0" borderId="0" xfId="1" applyFont="1">
      <alignment vertical="center"/>
    </xf>
    <xf numFmtId="41" fontId="3" fillId="0" borderId="0" xfId="0" applyNumberFormat="1" applyFont="1">
      <alignment vertical="center"/>
    </xf>
    <xf numFmtId="41" fontId="3" fillId="0" borderId="0" xfId="1" applyFont="1" applyBorder="1">
      <alignment vertical="center"/>
    </xf>
    <xf numFmtId="0" fontId="5" fillId="0" borderId="0" xfId="0" applyFont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3" fontId="4" fillId="0" borderId="0" xfId="0" applyNumberFormat="1" applyFont="1">
      <alignment vertical="center"/>
    </xf>
    <xf numFmtId="0" fontId="5" fillId="2" borderId="7" xfId="0" applyFont="1" applyFill="1" applyBorder="1" applyAlignment="1">
      <alignment horizontal="center" vertical="center"/>
    </xf>
    <xf numFmtId="41" fontId="5" fillId="2" borderId="30" xfId="1" applyFont="1" applyFill="1" applyBorder="1">
      <alignment vertical="center"/>
    </xf>
    <xf numFmtId="41" fontId="5" fillId="2" borderId="29" xfId="1" applyFont="1" applyFill="1" applyBorder="1">
      <alignment vertical="center"/>
    </xf>
    <xf numFmtId="41" fontId="5" fillId="2" borderId="31" xfId="1" applyFont="1" applyFill="1" applyBorder="1">
      <alignment vertical="center"/>
    </xf>
    <xf numFmtId="41" fontId="5" fillId="2" borderId="32" xfId="1" applyFont="1" applyFill="1" applyBorder="1">
      <alignment vertical="center"/>
    </xf>
    <xf numFmtId="41" fontId="5" fillId="2" borderId="25" xfId="1" applyFont="1" applyFill="1" applyBorder="1">
      <alignment vertical="center"/>
    </xf>
    <xf numFmtId="41" fontId="5" fillId="2" borderId="33" xfId="0" applyNumberFormat="1" applyFont="1" applyFill="1" applyBorder="1">
      <alignment vertical="center"/>
    </xf>
    <xf numFmtId="41" fontId="5" fillId="2" borderId="30" xfId="0" applyNumberFormat="1" applyFont="1" applyFill="1" applyBorder="1">
      <alignment vertical="center"/>
    </xf>
    <xf numFmtId="41" fontId="5" fillId="2" borderId="25" xfId="0" applyNumberFormat="1" applyFont="1" applyFill="1" applyBorder="1">
      <alignment vertical="center"/>
    </xf>
    <xf numFmtId="0" fontId="5" fillId="2" borderId="37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14" fillId="5" borderId="56" xfId="0" applyFont="1" applyFill="1" applyBorder="1" applyAlignment="1">
      <alignment horizontal="center" vertical="center"/>
    </xf>
    <xf numFmtId="0" fontId="14" fillId="5" borderId="56" xfId="0" applyFont="1" applyFill="1" applyBorder="1" applyAlignment="1">
      <alignment horizontal="center" vertical="center" wrapText="1"/>
    </xf>
    <xf numFmtId="0" fontId="14" fillId="5" borderId="57" xfId="0" applyFont="1" applyFill="1" applyBorder="1" applyAlignment="1">
      <alignment horizontal="center" vertical="center" wrapText="1"/>
    </xf>
    <xf numFmtId="0" fontId="14" fillId="5" borderId="57" xfId="0" applyFont="1" applyFill="1" applyBorder="1" applyAlignment="1">
      <alignment horizontal="center" vertical="center"/>
    </xf>
    <xf numFmtId="0" fontId="14" fillId="5" borderId="58" xfId="0" applyFont="1" applyFill="1" applyBorder="1" applyAlignment="1">
      <alignment horizontal="center" vertical="center"/>
    </xf>
    <xf numFmtId="41" fontId="14" fillId="6" borderId="60" xfId="1" applyFont="1" applyFill="1" applyBorder="1" applyAlignment="1">
      <alignment horizontal="left" vertical="center"/>
    </xf>
    <xf numFmtId="41" fontId="15" fillId="7" borderId="60" xfId="1" applyFont="1" applyFill="1" applyBorder="1" applyAlignment="1">
      <alignment horizontal="left" vertical="center"/>
    </xf>
    <xf numFmtId="177" fontId="15" fillId="7" borderId="61" xfId="1" applyNumberFormat="1" applyFont="1" applyFill="1" applyBorder="1" applyAlignment="1">
      <alignment horizontal="right" vertical="center"/>
    </xf>
    <xf numFmtId="178" fontId="15" fillId="7" borderId="62" xfId="1" applyNumberFormat="1" applyFont="1" applyFill="1" applyBorder="1" applyAlignment="1">
      <alignment horizontal="right" vertical="center"/>
    </xf>
    <xf numFmtId="178" fontId="15" fillId="7" borderId="60" xfId="1" applyNumberFormat="1" applyFont="1" applyFill="1" applyBorder="1" applyAlignment="1">
      <alignment horizontal="right" vertical="center"/>
    </xf>
    <xf numFmtId="179" fontId="15" fillId="7" borderId="60" xfId="1" applyNumberFormat="1" applyFont="1" applyFill="1" applyBorder="1">
      <alignment vertical="center"/>
    </xf>
    <xf numFmtId="178" fontId="15" fillId="7" borderId="61" xfId="1" applyNumberFormat="1" applyFont="1" applyFill="1" applyBorder="1" applyAlignment="1">
      <alignment horizontal="right" vertical="center"/>
    </xf>
    <xf numFmtId="180" fontId="15" fillId="7" borderId="62" xfId="1" applyNumberFormat="1" applyFont="1" applyFill="1" applyBorder="1">
      <alignment vertical="center"/>
    </xf>
    <xf numFmtId="180" fontId="15" fillId="7" borderId="60" xfId="1" applyNumberFormat="1" applyFont="1" applyFill="1" applyBorder="1">
      <alignment vertical="center"/>
    </xf>
    <xf numFmtId="180" fontId="15" fillId="7" borderId="61" xfId="1" applyNumberFormat="1" applyFont="1" applyFill="1" applyBorder="1">
      <alignment vertical="center"/>
    </xf>
    <xf numFmtId="179" fontId="15" fillId="7" borderId="49" xfId="1" applyNumberFormat="1" applyFont="1" applyFill="1" applyBorder="1">
      <alignment vertical="center"/>
    </xf>
    <xf numFmtId="41" fontId="15" fillId="7" borderId="64" xfId="1" applyFont="1" applyFill="1" applyBorder="1" applyAlignment="1">
      <alignment horizontal="left" vertical="center"/>
    </xf>
    <xf numFmtId="177" fontId="15" fillId="7" borderId="65" xfId="1" applyNumberFormat="1" applyFont="1" applyFill="1" applyBorder="1" applyAlignment="1">
      <alignment horizontal="right" vertical="center"/>
    </xf>
    <xf numFmtId="178" fontId="15" fillId="7" borderId="66" xfId="1" applyNumberFormat="1" applyFont="1" applyFill="1" applyBorder="1" applyAlignment="1">
      <alignment horizontal="right" vertical="center"/>
    </xf>
    <xf numFmtId="178" fontId="15" fillId="7" borderId="64" xfId="1" applyNumberFormat="1" applyFont="1" applyFill="1" applyBorder="1" applyAlignment="1">
      <alignment horizontal="right" vertical="center"/>
    </xf>
    <xf numFmtId="179" fontId="15" fillId="7" borderId="64" xfId="1" applyNumberFormat="1" applyFont="1" applyFill="1" applyBorder="1">
      <alignment vertical="center"/>
    </xf>
    <xf numFmtId="178" fontId="15" fillId="7" borderId="65" xfId="1" applyNumberFormat="1" applyFont="1" applyFill="1" applyBorder="1" applyAlignment="1">
      <alignment horizontal="right" vertical="center"/>
    </xf>
    <xf numFmtId="180" fontId="15" fillId="7" borderId="66" xfId="1" applyNumberFormat="1" applyFont="1" applyFill="1" applyBorder="1">
      <alignment vertical="center"/>
    </xf>
    <xf numFmtId="180" fontId="15" fillId="7" borderId="64" xfId="1" applyNumberFormat="1" applyFont="1" applyFill="1" applyBorder="1">
      <alignment vertical="center"/>
    </xf>
    <xf numFmtId="180" fontId="15" fillId="7" borderId="65" xfId="1" applyNumberFormat="1" applyFont="1" applyFill="1" applyBorder="1">
      <alignment vertical="center"/>
    </xf>
    <xf numFmtId="179" fontId="15" fillId="7" borderId="67" xfId="1" applyNumberFormat="1" applyFont="1" applyFill="1" applyBorder="1">
      <alignment vertical="center"/>
    </xf>
    <xf numFmtId="41" fontId="15" fillId="7" borderId="69" xfId="1" applyFont="1" applyFill="1" applyBorder="1" applyAlignment="1">
      <alignment horizontal="left" vertical="center"/>
    </xf>
    <xf numFmtId="177" fontId="15" fillId="7" borderId="70" xfId="1" applyNumberFormat="1" applyFont="1" applyFill="1" applyBorder="1" applyAlignment="1">
      <alignment horizontal="right" vertical="center"/>
    </xf>
    <xf numFmtId="178" fontId="15" fillId="7" borderId="71" xfId="1" applyNumberFormat="1" applyFont="1" applyFill="1" applyBorder="1" applyAlignment="1">
      <alignment horizontal="right" vertical="center"/>
    </xf>
    <xf numFmtId="178" fontId="15" fillId="7" borderId="69" xfId="1" applyNumberFormat="1" applyFont="1" applyFill="1" applyBorder="1" applyAlignment="1">
      <alignment horizontal="right" vertical="center"/>
    </xf>
    <xf numFmtId="179" fontId="15" fillId="7" borderId="69" xfId="1" applyNumberFormat="1" applyFont="1" applyFill="1" applyBorder="1">
      <alignment vertical="center"/>
    </xf>
    <xf numFmtId="178" fontId="15" fillId="7" borderId="70" xfId="1" applyNumberFormat="1" applyFont="1" applyFill="1" applyBorder="1" applyAlignment="1">
      <alignment horizontal="right" vertical="center"/>
    </xf>
    <xf numFmtId="180" fontId="15" fillId="7" borderId="71" xfId="1" applyNumberFormat="1" applyFont="1" applyFill="1" applyBorder="1">
      <alignment vertical="center"/>
    </xf>
    <xf numFmtId="180" fontId="15" fillId="7" borderId="69" xfId="1" applyNumberFormat="1" applyFont="1" applyFill="1" applyBorder="1">
      <alignment vertical="center"/>
    </xf>
    <xf numFmtId="180" fontId="15" fillId="7" borderId="70" xfId="1" applyNumberFormat="1" applyFont="1" applyFill="1" applyBorder="1">
      <alignment vertical="center"/>
    </xf>
    <xf numFmtId="179" fontId="15" fillId="7" borderId="73" xfId="1" applyNumberFormat="1" applyFont="1" applyFill="1" applyBorder="1">
      <alignment vertical="center"/>
    </xf>
    <xf numFmtId="177" fontId="14" fillId="10" borderId="79" xfId="0" applyNumberFormat="1" applyFont="1" applyFill="1" applyBorder="1" applyAlignment="1">
      <alignment horizontal="right" vertical="center"/>
    </xf>
    <xf numFmtId="178" fontId="14" fillId="10" borderId="80" xfId="1" applyNumberFormat="1" applyFont="1" applyFill="1" applyBorder="1" applyAlignment="1">
      <alignment horizontal="right" vertical="center"/>
    </xf>
    <xf numFmtId="179" fontId="14" fillId="10" borderId="81" xfId="1" applyNumberFormat="1" applyFont="1" applyFill="1" applyBorder="1">
      <alignment vertical="center"/>
    </xf>
    <xf numFmtId="178" fontId="14" fillId="10" borderId="79" xfId="1" applyNumberFormat="1" applyFont="1" applyFill="1" applyBorder="1" applyAlignment="1">
      <alignment horizontal="right" vertical="center"/>
    </xf>
    <xf numFmtId="180" fontId="14" fillId="10" borderId="80" xfId="0" applyNumberFormat="1" applyFont="1" applyFill="1" applyBorder="1">
      <alignment vertical="center"/>
    </xf>
    <xf numFmtId="180" fontId="14" fillId="10" borderId="81" xfId="0" applyNumberFormat="1" applyFont="1" applyFill="1" applyBorder="1">
      <alignment vertical="center"/>
    </xf>
    <xf numFmtId="180" fontId="14" fillId="10" borderId="79" xfId="0" applyNumberFormat="1" applyFont="1" applyFill="1" applyBorder="1">
      <alignment vertical="center"/>
    </xf>
    <xf numFmtId="179" fontId="14" fillId="10" borderId="82" xfId="0" applyNumberFormat="1" applyFont="1" applyFill="1" applyBorder="1">
      <alignment vertical="center"/>
    </xf>
    <xf numFmtId="179" fontId="14" fillId="0" borderId="83" xfId="0" applyNumberFormat="1" applyFont="1" applyBorder="1" applyAlignment="1">
      <alignment horizontal="right" vertical="center"/>
    </xf>
    <xf numFmtId="178" fontId="4" fillId="0" borderId="0" xfId="0" applyNumberFormat="1" applyFont="1">
      <alignment vertical="center"/>
    </xf>
    <xf numFmtId="41" fontId="14" fillId="7" borderId="64" xfId="1" applyFont="1" applyFill="1" applyBorder="1" applyAlignment="1">
      <alignment horizontal="left" vertical="center"/>
    </xf>
    <xf numFmtId="41" fontId="14" fillId="7" borderId="69" xfId="1" applyFont="1" applyFill="1" applyBorder="1" applyAlignment="1">
      <alignment horizontal="left" vertical="center"/>
    </xf>
    <xf numFmtId="179" fontId="15" fillId="7" borderId="72" xfId="1" applyNumberFormat="1" applyFont="1" applyFill="1" applyBorder="1">
      <alignment vertical="center"/>
    </xf>
    <xf numFmtId="178" fontId="14" fillId="10" borderId="78" xfId="1" applyNumberFormat="1" applyFont="1" applyFill="1" applyBorder="1" applyAlignment="1">
      <alignment horizontal="right"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4" fillId="0" borderId="0" xfId="0" applyFont="1" applyAlignment="1">
      <alignment horizontal="right" vertical="center"/>
    </xf>
    <xf numFmtId="0" fontId="15" fillId="0" borderId="0" xfId="0" applyFont="1" applyAlignment="1">
      <alignment horizontal="right" vertical="center"/>
    </xf>
    <xf numFmtId="0" fontId="0" fillId="5" borderId="63" xfId="0" applyFill="1" applyBorder="1" applyAlignment="1">
      <alignment horizontal="center" vertical="center" wrapText="1"/>
    </xf>
    <xf numFmtId="179" fontId="14" fillId="0" borderId="68" xfId="1" applyNumberFormat="1" applyFont="1" applyBorder="1" applyAlignment="1">
      <alignment horizontal="right" vertical="center"/>
    </xf>
    <xf numFmtId="180" fontId="15" fillId="7" borderId="69" xfId="1" applyNumberFormat="1" applyFont="1" applyFill="1" applyBorder="1" applyAlignment="1">
      <alignment horizontal="right" vertical="center"/>
    </xf>
    <xf numFmtId="179" fontId="0" fillId="7" borderId="69" xfId="1" applyNumberFormat="1" applyFont="1" applyFill="1" applyBorder="1">
      <alignment vertical="center"/>
    </xf>
    <xf numFmtId="178" fontId="0" fillId="7" borderId="70" xfId="1" applyNumberFormat="1" applyFont="1" applyFill="1" applyBorder="1" applyAlignment="1">
      <alignment horizontal="right" vertical="center"/>
    </xf>
    <xf numFmtId="178" fontId="0" fillId="7" borderId="65" xfId="1" applyNumberFormat="1" applyFont="1" applyFill="1" applyBorder="1" applyAlignment="1">
      <alignment horizontal="right" vertical="center"/>
    </xf>
    <xf numFmtId="41" fontId="0" fillId="7" borderId="93" xfId="1" applyFont="1" applyFill="1" applyBorder="1" applyAlignment="1">
      <alignment horizontal="left" vertical="center"/>
    </xf>
    <xf numFmtId="177" fontId="0" fillId="7" borderId="93" xfId="1" applyNumberFormat="1" applyFont="1" applyFill="1" applyBorder="1" applyAlignment="1">
      <alignment horizontal="right" vertical="center"/>
    </xf>
    <xf numFmtId="178" fontId="0" fillId="7" borderId="93" xfId="1" applyNumberFormat="1" applyFont="1" applyFill="1" applyBorder="1" applyAlignment="1">
      <alignment horizontal="right" vertical="center"/>
    </xf>
    <xf numFmtId="179" fontId="0" fillId="7" borderId="93" xfId="1" applyNumberFormat="1" applyFont="1" applyFill="1" applyBorder="1">
      <alignment vertical="center"/>
    </xf>
    <xf numFmtId="180" fontId="0" fillId="7" borderId="93" xfId="1" applyNumberFormat="1" applyFont="1" applyFill="1" applyBorder="1">
      <alignment vertical="center"/>
    </xf>
    <xf numFmtId="0" fontId="15" fillId="2" borderId="93" xfId="0" applyFont="1" applyFill="1" applyBorder="1" applyAlignment="1">
      <alignment horizontal="center" vertical="center"/>
    </xf>
    <xf numFmtId="0" fontId="15" fillId="2" borderId="93" xfId="0" applyFont="1" applyFill="1" applyBorder="1" applyAlignment="1">
      <alignment horizontal="center" vertical="center" wrapText="1"/>
    </xf>
    <xf numFmtId="0" fontId="0" fillId="0" borderId="93" xfId="0" applyBorder="1">
      <alignment vertical="center"/>
    </xf>
    <xf numFmtId="41" fontId="15" fillId="7" borderId="93" xfId="1" applyFont="1" applyFill="1" applyBorder="1" applyAlignment="1">
      <alignment horizontal="left" vertical="center"/>
    </xf>
    <xf numFmtId="41" fontId="14" fillId="11" borderId="64" xfId="1" applyFont="1" applyFill="1" applyBorder="1" applyAlignment="1">
      <alignment horizontal="left" vertical="center"/>
    </xf>
    <xf numFmtId="41" fontId="14" fillId="11" borderId="69" xfId="1" applyFont="1" applyFill="1" applyBorder="1" applyAlignment="1">
      <alignment horizontal="left" vertical="center"/>
    </xf>
    <xf numFmtId="177" fontId="15" fillId="11" borderId="70" xfId="1" applyNumberFormat="1" applyFont="1" applyFill="1" applyBorder="1" applyAlignment="1">
      <alignment horizontal="right" vertical="center"/>
    </xf>
    <xf numFmtId="177" fontId="15" fillId="11" borderId="65" xfId="1" applyNumberFormat="1" applyFont="1" applyFill="1" applyBorder="1" applyAlignment="1">
      <alignment horizontal="right" vertical="center"/>
    </xf>
    <xf numFmtId="0" fontId="17" fillId="0" borderId="0" xfId="0" applyFont="1">
      <alignment vertical="center"/>
    </xf>
    <xf numFmtId="1" fontId="4" fillId="0" borderId="0" xfId="0" applyNumberFormat="1" applyFont="1">
      <alignment vertical="center"/>
    </xf>
    <xf numFmtId="41" fontId="18" fillId="7" borderId="64" xfId="1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right" vertical="center"/>
    </xf>
    <xf numFmtId="0" fontId="16" fillId="3" borderId="97" xfId="0" applyFont="1" applyFill="1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0" fillId="0" borderId="97" xfId="0" applyBorder="1">
      <alignment vertical="center"/>
    </xf>
    <xf numFmtId="0" fontId="0" fillId="0" borderId="97" xfId="0" applyBorder="1" applyAlignment="1">
      <alignment horizontal="right" vertical="center"/>
    </xf>
    <xf numFmtId="0" fontId="16" fillId="0" borderId="98" xfId="0" applyFont="1" applyBorder="1" applyAlignment="1">
      <alignment horizontal="center" vertical="center"/>
    </xf>
    <xf numFmtId="0" fontId="16" fillId="8" borderId="99" xfId="0" applyFont="1" applyFill="1" applyBorder="1" applyAlignment="1">
      <alignment horizontal="center" vertical="center"/>
    </xf>
    <xf numFmtId="0" fontId="16" fillId="8" borderId="101" xfId="0" applyFont="1" applyFill="1" applyBorder="1" applyAlignment="1">
      <alignment horizontal="center" vertical="center"/>
    </xf>
    <xf numFmtId="0" fontId="16" fillId="3" borderId="99" xfId="0" applyFont="1" applyFill="1" applyBorder="1" applyAlignment="1">
      <alignment horizontal="center" vertical="center"/>
    </xf>
    <xf numFmtId="0" fontId="16" fillId="12" borderId="101" xfId="0" applyFont="1" applyFill="1" applyBorder="1" applyAlignment="1">
      <alignment horizontal="center" vertical="center"/>
    </xf>
    <xf numFmtId="0" fontId="16" fillId="13" borderId="101" xfId="0" applyFont="1" applyFill="1" applyBorder="1">
      <alignment vertical="center"/>
    </xf>
    <xf numFmtId="0" fontId="16" fillId="13" borderId="100" xfId="0" applyFont="1" applyFill="1" applyBorder="1" applyAlignment="1">
      <alignment horizontal="center" vertical="center"/>
    </xf>
    <xf numFmtId="0" fontId="16" fillId="8" borderId="97" xfId="0" applyFont="1" applyFill="1" applyBorder="1">
      <alignment vertical="center"/>
    </xf>
    <xf numFmtId="0" fontId="16" fillId="8" borderId="97" xfId="0" applyFont="1" applyFill="1" applyBorder="1" applyAlignment="1">
      <alignment horizontal="right" vertical="center"/>
    </xf>
    <xf numFmtId="41" fontId="24" fillId="3" borderId="14" xfId="1" applyFont="1" applyFill="1" applyBorder="1">
      <alignment vertical="center"/>
    </xf>
    <xf numFmtId="41" fontId="24" fillId="3" borderId="28" xfId="1" applyFont="1" applyFill="1" applyBorder="1">
      <alignment vertical="center"/>
    </xf>
    <xf numFmtId="41" fontId="26" fillId="3" borderId="18" xfId="1" applyFont="1" applyFill="1" applyBorder="1">
      <alignment vertical="center"/>
    </xf>
    <xf numFmtId="41" fontId="24" fillId="0" borderId="15" xfId="1" applyFont="1" applyFill="1" applyBorder="1">
      <alignment vertical="center"/>
    </xf>
    <xf numFmtId="176" fontId="25" fillId="0" borderId="6" xfId="2" applyNumberFormat="1" applyFont="1" applyFill="1" applyBorder="1">
      <alignment vertical="center"/>
    </xf>
    <xf numFmtId="41" fontId="25" fillId="0" borderId="5" xfId="2" applyNumberFormat="1" applyFont="1" applyFill="1" applyBorder="1">
      <alignment vertical="center"/>
    </xf>
    <xf numFmtId="41" fontId="26" fillId="0" borderId="1" xfId="1" applyFont="1" applyFill="1" applyBorder="1">
      <alignment vertical="center"/>
    </xf>
    <xf numFmtId="41" fontId="24" fillId="0" borderId="15" xfId="1" applyFont="1" applyBorder="1">
      <alignment vertical="center"/>
    </xf>
    <xf numFmtId="176" fontId="24" fillId="0" borderId="6" xfId="1" applyNumberFormat="1" applyFont="1" applyBorder="1">
      <alignment vertical="center"/>
    </xf>
    <xf numFmtId="41" fontId="26" fillId="0" borderId="1" xfId="1" applyFont="1" applyBorder="1">
      <alignment vertical="center"/>
    </xf>
    <xf numFmtId="41" fontId="24" fillId="3" borderId="15" xfId="1" applyFont="1" applyFill="1" applyBorder="1">
      <alignment vertical="center"/>
    </xf>
    <xf numFmtId="176" fontId="24" fillId="3" borderId="6" xfId="1" applyNumberFormat="1" applyFont="1" applyFill="1" applyBorder="1">
      <alignment vertical="center"/>
    </xf>
    <xf numFmtId="41" fontId="26" fillId="3" borderId="1" xfId="1" applyFont="1" applyFill="1" applyBorder="1">
      <alignment vertical="center"/>
    </xf>
    <xf numFmtId="176" fontId="24" fillId="0" borderId="6" xfId="1" applyNumberFormat="1" applyFont="1" applyFill="1" applyBorder="1">
      <alignment vertical="center"/>
    </xf>
    <xf numFmtId="41" fontId="24" fillId="3" borderId="26" xfId="1" applyFont="1" applyFill="1" applyBorder="1">
      <alignment vertical="center"/>
    </xf>
    <xf numFmtId="41" fontId="24" fillId="3" borderId="11" xfId="1" applyFont="1" applyFill="1" applyBorder="1">
      <alignment vertical="center"/>
    </xf>
    <xf numFmtId="41" fontId="24" fillId="0" borderId="5" xfId="1" applyFont="1" applyBorder="1">
      <alignment vertical="center"/>
    </xf>
    <xf numFmtId="41" fontId="24" fillId="0" borderId="2" xfId="1" applyFont="1" applyBorder="1">
      <alignment vertical="center"/>
    </xf>
    <xf numFmtId="41" fontId="24" fillId="3" borderId="5" xfId="1" applyFont="1" applyFill="1" applyBorder="1">
      <alignment vertical="center"/>
    </xf>
    <xf numFmtId="41" fontId="24" fillId="3" borderId="2" xfId="1" applyFont="1" applyFill="1" applyBorder="1">
      <alignment vertical="center"/>
    </xf>
    <xf numFmtId="41" fontId="24" fillId="0" borderId="5" xfId="1" applyFont="1" applyFill="1" applyBorder="1">
      <alignment vertical="center"/>
    </xf>
    <xf numFmtId="41" fontId="24" fillId="0" borderId="2" xfId="1" applyFont="1" applyFill="1" applyBorder="1">
      <alignment vertical="center"/>
    </xf>
    <xf numFmtId="41" fontId="24" fillId="0" borderId="0" xfId="0" applyNumberFormat="1" applyFont="1">
      <alignment vertical="center"/>
    </xf>
    <xf numFmtId="41" fontId="26" fillId="3" borderId="26" xfId="2" applyNumberFormat="1" applyFont="1" applyFill="1" applyBorder="1">
      <alignment vertical="center"/>
    </xf>
    <xf numFmtId="176" fontId="26" fillId="3" borderId="27" xfId="2" applyNumberFormat="1" applyFont="1" applyFill="1" applyBorder="1">
      <alignment vertical="center"/>
    </xf>
    <xf numFmtId="41" fontId="26" fillId="3" borderId="14" xfId="2" applyNumberFormat="1" applyFont="1" applyFill="1" applyBorder="1">
      <alignment vertical="center"/>
    </xf>
    <xf numFmtId="41" fontId="26" fillId="0" borderId="15" xfId="2" applyNumberFormat="1" applyFont="1" applyFill="1" applyBorder="1">
      <alignment vertical="center"/>
    </xf>
    <xf numFmtId="176" fontId="26" fillId="0" borderId="6" xfId="2" applyNumberFormat="1" applyFont="1" applyFill="1" applyBorder="1">
      <alignment vertical="center"/>
    </xf>
    <xf numFmtId="41" fontId="26" fillId="3" borderId="15" xfId="2" applyNumberFormat="1" applyFont="1" applyFill="1" applyBorder="1">
      <alignment vertical="center"/>
    </xf>
    <xf numFmtId="181" fontId="24" fillId="3" borderId="21" xfId="1" applyNumberFormat="1" applyFont="1" applyFill="1" applyBorder="1">
      <alignment vertical="center"/>
    </xf>
    <xf numFmtId="181" fontId="24" fillId="0" borderId="22" xfId="1" applyNumberFormat="1" applyFont="1" applyBorder="1">
      <alignment vertical="center"/>
    </xf>
    <xf numFmtId="181" fontId="24" fillId="3" borderId="22" xfId="1" applyNumberFormat="1" applyFont="1" applyFill="1" applyBorder="1" applyAlignment="1">
      <alignment horizontal="right" vertical="center"/>
    </xf>
    <xf numFmtId="181" fontId="24" fillId="3" borderId="22" xfId="1" applyNumberFormat="1" applyFont="1" applyFill="1" applyBorder="1">
      <alignment vertical="center"/>
    </xf>
    <xf numFmtId="181" fontId="24" fillId="0" borderId="22" xfId="1" applyNumberFormat="1" applyFont="1" applyFill="1" applyBorder="1">
      <alignment vertical="center"/>
    </xf>
    <xf numFmtId="181" fontId="5" fillId="2" borderId="34" xfId="0" applyNumberFormat="1" applyFont="1" applyFill="1" applyBorder="1">
      <alignment vertical="center"/>
    </xf>
    <xf numFmtId="178" fontId="0" fillId="0" borderId="0" xfId="0" applyNumberFormat="1">
      <alignment vertical="center"/>
    </xf>
    <xf numFmtId="41" fontId="0" fillId="0" borderId="0" xfId="0" applyNumberFormat="1">
      <alignment vertical="center"/>
    </xf>
    <xf numFmtId="180" fontId="0" fillId="7" borderId="66" xfId="1" applyNumberFormat="1" applyFont="1" applyFill="1" applyBorder="1">
      <alignment vertical="center"/>
    </xf>
    <xf numFmtId="178" fontId="0" fillId="7" borderId="103" xfId="1" applyNumberFormat="1" applyFont="1" applyFill="1" applyBorder="1" applyAlignment="1">
      <alignment horizontal="right" vertical="center"/>
    </xf>
    <xf numFmtId="178" fontId="0" fillId="7" borderId="104" xfId="1" applyNumberFormat="1" applyFont="1" applyFill="1" applyBorder="1" applyAlignment="1">
      <alignment horizontal="right" vertical="center"/>
    </xf>
    <xf numFmtId="0" fontId="0" fillId="2" borderId="105" xfId="0" applyFill="1" applyBorder="1" applyAlignment="1">
      <alignment horizontal="center" vertical="center" wrapText="1"/>
    </xf>
    <xf numFmtId="0" fontId="29" fillId="14" borderId="114" xfId="0" applyFont="1" applyFill="1" applyBorder="1">
      <alignment vertical="center"/>
    </xf>
    <xf numFmtId="3" fontId="19" fillId="0" borderId="0" xfId="0" applyNumberFormat="1" applyFont="1" applyAlignment="1">
      <alignment horizontal="right" vertical="center"/>
    </xf>
    <xf numFmtId="41" fontId="4" fillId="0" borderId="56" xfId="1" applyFont="1" applyBorder="1" applyAlignment="1">
      <alignment horizontal="center" vertical="center"/>
    </xf>
    <xf numFmtId="41" fontId="4" fillId="0" borderId="113" xfId="1" applyFont="1" applyBorder="1" applyAlignment="1">
      <alignment horizontal="center" vertical="center"/>
    </xf>
    <xf numFmtId="41" fontId="3" fillId="9" borderId="0" xfId="0" applyNumberFormat="1" applyFont="1" applyFill="1">
      <alignment vertical="center"/>
    </xf>
    <xf numFmtId="0" fontId="0" fillId="0" borderId="99" xfId="0" applyBorder="1" applyAlignment="1">
      <alignment horizontal="right" vertical="center"/>
    </xf>
    <xf numFmtId="0" fontId="0" fillId="0" borderId="101" xfId="0" applyBorder="1" applyAlignment="1">
      <alignment horizontal="right" vertical="center"/>
    </xf>
    <xf numFmtId="0" fontId="16" fillId="0" borderId="97" xfId="0" applyFont="1" applyBorder="1" applyAlignment="1">
      <alignment horizontal="center" vertical="center"/>
    </xf>
    <xf numFmtId="0" fontId="16" fillId="8" borderId="121" xfId="0" applyFont="1" applyFill="1" applyBorder="1" applyAlignment="1">
      <alignment horizontal="center" vertical="center"/>
    </xf>
    <xf numFmtId="0" fontId="16" fillId="0" borderId="122" xfId="0" applyFont="1" applyBorder="1" applyAlignment="1">
      <alignment horizontal="center" vertical="center"/>
    </xf>
    <xf numFmtId="0" fontId="0" fillId="0" borderId="99" xfId="0" applyBorder="1">
      <alignment vertical="center"/>
    </xf>
    <xf numFmtId="0" fontId="0" fillId="0" borderId="99" xfId="0" applyBorder="1" applyAlignment="1">
      <alignment horizontal="center" vertical="center"/>
    </xf>
    <xf numFmtId="0" fontId="0" fillId="0" borderId="97" xfId="0" applyBorder="1" applyAlignment="1">
      <alignment vertical="center" wrapText="1"/>
    </xf>
    <xf numFmtId="0" fontId="16" fillId="0" borderId="102" xfId="0" applyFont="1" applyBorder="1" applyAlignment="1">
      <alignment horizontal="center" vertical="center"/>
    </xf>
    <xf numFmtId="0" fontId="0" fillId="0" borderId="99" xfId="0" applyBorder="1" applyAlignment="1">
      <alignment vertical="center" wrapText="1"/>
    </xf>
    <xf numFmtId="0" fontId="16" fillId="12" borderId="123" xfId="0" applyFont="1" applyFill="1" applyBorder="1" applyAlignment="1">
      <alignment horizontal="center" vertical="center"/>
    </xf>
    <xf numFmtId="0" fontId="16" fillId="12" borderId="126" xfId="0" applyFont="1" applyFill="1" applyBorder="1">
      <alignment vertical="center"/>
    </xf>
    <xf numFmtId="0" fontId="16" fillId="12" borderId="126" xfId="0" applyFont="1" applyFill="1" applyBorder="1" applyAlignment="1">
      <alignment horizontal="right" vertical="center"/>
    </xf>
    <xf numFmtId="0" fontId="0" fillId="0" borderId="126" xfId="0" applyBorder="1" applyAlignment="1">
      <alignment horizontal="center" vertical="center"/>
    </xf>
    <xf numFmtId="0" fontId="0" fillId="0" borderId="126" xfId="0" applyBorder="1">
      <alignment vertical="center"/>
    </xf>
    <xf numFmtId="0" fontId="16" fillId="0" borderId="99" xfId="0" applyFont="1" applyBorder="1" applyAlignment="1">
      <alignment horizontal="center" vertical="center"/>
    </xf>
    <xf numFmtId="0" fontId="0" fillId="0" borderId="101" xfId="0" applyBorder="1">
      <alignment vertical="center"/>
    </xf>
    <xf numFmtId="0" fontId="0" fillId="0" borderId="101" xfId="0" applyBorder="1" applyAlignment="1">
      <alignment horizontal="center" vertical="center"/>
    </xf>
    <xf numFmtId="0" fontId="16" fillId="13" borderId="123" xfId="0" applyFont="1" applyFill="1" applyBorder="1" applyAlignment="1">
      <alignment horizontal="center" vertical="center"/>
    </xf>
    <xf numFmtId="0" fontId="16" fillId="13" borderId="126" xfId="0" applyFont="1" applyFill="1" applyBorder="1">
      <alignment vertical="center"/>
    </xf>
    <xf numFmtId="0" fontId="16" fillId="13" borderId="126" xfId="0" applyFont="1" applyFill="1" applyBorder="1" applyAlignment="1">
      <alignment horizontal="right" vertical="center"/>
    </xf>
    <xf numFmtId="41" fontId="31" fillId="0" borderId="113" xfId="1" applyFont="1" applyBorder="1" applyAlignment="1">
      <alignment horizontal="center" vertical="center"/>
    </xf>
    <xf numFmtId="179" fontId="0" fillId="7" borderId="72" xfId="1" applyNumberFormat="1" applyFont="1" applyFill="1" applyBorder="1">
      <alignment vertical="center"/>
    </xf>
    <xf numFmtId="178" fontId="0" fillId="7" borderId="69" xfId="1" applyNumberFormat="1" applyFont="1" applyFill="1" applyBorder="1" applyAlignment="1">
      <alignment horizontal="right" vertical="center"/>
    </xf>
    <xf numFmtId="181" fontId="26" fillId="0" borderId="22" xfId="2" applyNumberFormat="1" applyFont="1" applyFill="1" applyBorder="1">
      <alignment vertical="center"/>
    </xf>
    <xf numFmtId="176" fontId="26" fillId="3" borderId="6" xfId="2" applyNumberFormat="1" applyFont="1" applyFill="1" applyBorder="1">
      <alignment vertical="center"/>
    </xf>
    <xf numFmtId="41" fontId="31" fillId="0" borderId="56" xfId="1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41" fontId="4" fillId="0" borderId="117" xfId="1" applyFont="1" applyBorder="1" applyAlignment="1">
      <alignment horizontal="center" vertical="center"/>
    </xf>
    <xf numFmtId="41" fontId="4" fillId="0" borderId="18" xfId="1" applyFont="1" applyBorder="1" applyAlignment="1">
      <alignment horizontal="center" vertical="center"/>
    </xf>
    <xf numFmtId="41" fontId="31" fillId="0" borderId="69" xfId="1" applyFont="1" applyBorder="1" applyAlignment="1">
      <alignment horizontal="center" vertical="center"/>
    </xf>
    <xf numFmtId="178" fontId="0" fillId="7" borderId="66" xfId="1" applyNumberFormat="1" applyFont="1" applyFill="1" applyBorder="1" applyAlignment="1">
      <alignment horizontal="right" vertical="center"/>
    </xf>
    <xf numFmtId="180" fontId="0" fillId="7" borderId="64" xfId="1" applyNumberFormat="1" applyFont="1" applyFill="1" applyBorder="1">
      <alignment vertical="center"/>
    </xf>
    <xf numFmtId="180" fontId="0" fillId="7" borderId="65" xfId="1" applyNumberFormat="1" applyFont="1" applyFill="1" applyBorder="1">
      <alignment vertical="center"/>
    </xf>
    <xf numFmtId="180" fontId="15" fillId="7" borderId="127" xfId="1" applyNumberFormat="1" applyFont="1" applyFill="1" applyBorder="1">
      <alignment vertical="center"/>
    </xf>
    <xf numFmtId="179" fontId="0" fillId="7" borderId="64" xfId="1" applyNumberFormat="1" applyFont="1" applyFill="1" applyBorder="1">
      <alignment vertical="center"/>
    </xf>
    <xf numFmtId="0" fontId="21" fillId="14" borderId="56" xfId="0" applyFont="1" applyFill="1" applyBorder="1">
      <alignment vertical="center"/>
    </xf>
    <xf numFmtId="0" fontId="20" fillId="14" borderId="118" xfId="0" applyFont="1" applyFill="1" applyBorder="1">
      <alignment vertical="center"/>
    </xf>
    <xf numFmtId="178" fontId="0" fillId="7" borderId="64" xfId="1" applyNumberFormat="1" applyFont="1" applyFill="1" applyBorder="1" applyAlignment="1">
      <alignment horizontal="right" vertical="center"/>
    </xf>
    <xf numFmtId="0" fontId="20" fillId="14" borderId="92" xfId="0" applyFont="1" applyFill="1" applyBorder="1" applyAlignment="1">
      <alignment horizontal="right" vertical="center"/>
    </xf>
    <xf numFmtId="180" fontId="0" fillId="7" borderId="75" xfId="1" applyNumberFormat="1" applyFont="1" applyFill="1" applyBorder="1">
      <alignment vertical="center"/>
    </xf>
    <xf numFmtId="180" fontId="0" fillId="7" borderId="73" xfId="1" applyNumberFormat="1" applyFont="1" applyFill="1" applyBorder="1">
      <alignment vertical="center"/>
    </xf>
    <xf numFmtId="180" fontId="0" fillId="7" borderId="74" xfId="1" applyNumberFormat="1" applyFont="1" applyFill="1" applyBorder="1">
      <alignment vertical="center"/>
    </xf>
    <xf numFmtId="178" fontId="35" fillId="0" borderId="66" xfId="1" applyNumberFormat="1" applyFont="1" applyFill="1" applyBorder="1" applyAlignment="1">
      <alignment horizontal="right" vertical="center"/>
    </xf>
    <xf numFmtId="178" fontId="35" fillId="0" borderId="71" xfId="1" applyNumberFormat="1" applyFont="1" applyFill="1" applyBorder="1" applyAlignment="1">
      <alignment horizontal="right" vertical="center"/>
    </xf>
    <xf numFmtId="178" fontId="30" fillId="0" borderId="66" xfId="1" applyNumberFormat="1" applyFont="1" applyFill="1" applyBorder="1" applyAlignment="1">
      <alignment horizontal="right" vertical="center"/>
    </xf>
    <xf numFmtId="178" fontId="30" fillId="0" borderId="71" xfId="1" applyNumberFormat="1" applyFont="1" applyFill="1" applyBorder="1" applyAlignment="1">
      <alignment horizontal="right" vertical="center"/>
    </xf>
    <xf numFmtId="178" fontId="30" fillId="0" borderId="66" xfId="1" applyNumberFormat="1" applyFont="1" applyBorder="1" applyAlignment="1">
      <alignment horizontal="right" vertical="center"/>
    </xf>
    <xf numFmtId="178" fontId="35" fillId="0" borderId="71" xfId="1" applyNumberFormat="1" applyFont="1" applyBorder="1" applyAlignment="1">
      <alignment horizontal="right" vertical="center"/>
    </xf>
    <xf numFmtId="178" fontId="35" fillId="0" borderId="66" xfId="1" applyNumberFormat="1" applyFont="1" applyBorder="1" applyAlignment="1">
      <alignment horizontal="right" vertical="center"/>
    </xf>
    <xf numFmtId="178" fontId="0" fillId="7" borderId="0" xfId="1" applyNumberFormat="1" applyFont="1" applyFill="1" applyBorder="1" applyAlignment="1">
      <alignment horizontal="right" vertical="center"/>
    </xf>
    <xf numFmtId="178" fontId="30" fillId="0" borderId="0" xfId="1" applyNumberFormat="1" applyFont="1" applyBorder="1" applyAlignment="1">
      <alignment horizontal="right" vertical="center"/>
    </xf>
    <xf numFmtId="178" fontId="35" fillId="0" borderId="0" xfId="1" applyNumberFormat="1" applyFont="1" applyBorder="1" applyAlignment="1">
      <alignment horizontal="right" vertical="center"/>
    </xf>
    <xf numFmtId="3" fontId="36" fillId="0" borderId="0" xfId="0" applyNumberFormat="1" applyFont="1">
      <alignment vertical="center"/>
    </xf>
    <xf numFmtId="0" fontId="36" fillId="14" borderId="116" xfId="0" applyFont="1" applyFill="1" applyBorder="1" applyAlignment="1">
      <alignment horizontal="right" vertical="center"/>
    </xf>
    <xf numFmtId="177" fontId="0" fillId="7" borderId="70" xfId="1" applyNumberFormat="1" applyFont="1" applyFill="1" applyBorder="1" applyAlignment="1">
      <alignment horizontal="right" vertical="center"/>
    </xf>
    <xf numFmtId="177" fontId="0" fillId="7" borderId="65" xfId="1" applyNumberFormat="1" applyFont="1" applyFill="1" applyBorder="1" applyAlignment="1">
      <alignment horizontal="right" vertical="center"/>
    </xf>
    <xf numFmtId="41" fontId="0" fillId="7" borderId="69" xfId="1" applyFont="1" applyFill="1" applyBorder="1" applyAlignment="1">
      <alignment horizontal="left" vertical="center"/>
    </xf>
    <xf numFmtId="0" fontId="36" fillId="14" borderId="115" xfId="0" applyFont="1" applyFill="1" applyBorder="1">
      <alignment vertical="center"/>
    </xf>
    <xf numFmtId="41" fontId="31" fillId="0" borderId="64" xfId="1" applyFont="1" applyBorder="1" applyAlignment="1">
      <alignment horizontal="center" vertical="center"/>
    </xf>
    <xf numFmtId="182" fontId="28" fillId="15" borderId="0" xfId="0" applyNumberFormat="1" applyFont="1" applyFill="1" applyAlignment="1">
      <alignment horizontal="center" vertical="center" wrapText="1"/>
    </xf>
    <xf numFmtId="0" fontId="0" fillId="7" borderId="0" xfId="0" applyFill="1">
      <alignment vertical="center"/>
    </xf>
    <xf numFmtId="41" fontId="4" fillId="0" borderId="56" xfId="1" applyFont="1" applyBorder="1" applyAlignment="1">
      <alignment vertical="center"/>
    </xf>
    <xf numFmtId="41" fontId="31" fillId="0" borderId="56" xfId="1" applyFont="1" applyBorder="1" applyAlignment="1">
      <alignment vertical="center"/>
    </xf>
    <xf numFmtId="0" fontId="4" fillId="0" borderId="56" xfId="0" applyFont="1" applyBorder="1" applyAlignment="1">
      <alignment horizontal="center" vertical="center"/>
    </xf>
    <xf numFmtId="41" fontId="4" fillId="0" borderId="113" xfId="1" applyFont="1" applyBorder="1" applyAlignment="1">
      <alignment vertical="center"/>
    </xf>
    <xf numFmtId="41" fontId="31" fillId="0" borderId="113" xfId="1" applyFont="1" applyBorder="1" applyAlignment="1">
      <alignment vertical="center"/>
    </xf>
    <xf numFmtId="0" fontId="4" fillId="0" borderId="113" xfId="0" applyFont="1" applyBorder="1" applyAlignment="1">
      <alignment horizontal="center" vertical="center"/>
    </xf>
    <xf numFmtId="41" fontId="4" fillId="0" borderId="69" xfId="1" applyFont="1" applyBorder="1" applyAlignment="1">
      <alignment horizontal="center" vertical="center"/>
    </xf>
    <xf numFmtId="41" fontId="31" fillId="0" borderId="69" xfId="1" applyFont="1" applyBorder="1" applyAlignment="1">
      <alignment vertical="center"/>
    </xf>
    <xf numFmtId="182" fontId="4" fillId="0" borderId="69" xfId="0" applyNumberFormat="1" applyFont="1" applyBorder="1" applyAlignment="1">
      <alignment horizontal="center" vertical="center"/>
    </xf>
    <xf numFmtId="3" fontId="31" fillId="0" borderId="56" xfId="0" applyNumberFormat="1" applyFont="1" applyBorder="1">
      <alignment vertical="center"/>
    </xf>
    <xf numFmtId="3" fontId="31" fillId="0" borderId="113" xfId="0" applyNumberFormat="1" applyFont="1" applyBorder="1">
      <alignment vertical="center"/>
    </xf>
    <xf numFmtId="3" fontId="31" fillId="0" borderId="69" xfId="0" applyNumberFormat="1" applyFont="1" applyBorder="1">
      <alignment vertical="center"/>
    </xf>
    <xf numFmtId="0" fontId="4" fillId="0" borderId="69" xfId="0" applyFont="1" applyBorder="1" applyAlignment="1">
      <alignment horizontal="center" vertical="center"/>
    </xf>
    <xf numFmtId="41" fontId="4" fillId="0" borderId="118" xfId="1" applyFont="1" applyBorder="1" applyAlignment="1">
      <alignment horizontal="center" vertical="center"/>
    </xf>
    <xf numFmtId="41" fontId="31" fillId="0" borderId="111" xfId="1" applyFont="1" applyBorder="1" applyAlignment="1">
      <alignment horizontal="center" vertical="center"/>
    </xf>
    <xf numFmtId="0" fontId="31" fillId="0" borderId="113" xfId="0" applyFont="1" applyBorder="1" applyAlignment="1">
      <alignment horizontal="center" vertical="center"/>
    </xf>
    <xf numFmtId="41" fontId="4" fillId="0" borderId="11" xfId="1" applyFont="1" applyBorder="1" applyAlignment="1">
      <alignment horizontal="center" vertical="center"/>
    </xf>
    <xf numFmtId="41" fontId="4" fillId="0" borderId="64" xfId="1" applyFont="1" applyBorder="1" applyAlignment="1">
      <alignment horizontal="center" vertical="center"/>
    </xf>
    <xf numFmtId="41" fontId="4" fillId="0" borderId="2" xfId="1" applyFont="1" applyBorder="1" applyAlignment="1">
      <alignment horizontal="center" vertical="center"/>
    </xf>
    <xf numFmtId="0" fontId="4" fillId="0" borderId="64" xfId="0" applyFont="1" applyBorder="1" applyAlignment="1">
      <alignment horizontal="center" vertical="center"/>
    </xf>
    <xf numFmtId="41" fontId="4" fillId="0" borderId="111" xfId="1" applyFont="1" applyBorder="1" applyAlignment="1">
      <alignment vertical="center"/>
    </xf>
    <xf numFmtId="41" fontId="4" fillId="0" borderId="11" xfId="1" applyFont="1" applyBorder="1" applyAlignment="1">
      <alignment vertical="center"/>
    </xf>
    <xf numFmtId="41" fontId="4" fillId="0" borderId="69" xfId="1" applyFont="1" applyBorder="1" applyAlignment="1">
      <alignment vertical="center"/>
    </xf>
    <xf numFmtId="41" fontId="5" fillId="0" borderId="64" xfId="0" applyNumberFormat="1" applyFont="1" applyBorder="1">
      <alignment vertical="center"/>
    </xf>
    <xf numFmtId="41" fontId="37" fillId="0" borderId="69" xfId="0" applyNumberFormat="1" applyFont="1" applyBorder="1">
      <alignment vertical="center"/>
    </xf>
    <xf numFmtId="41" fontId="37" fillId="0" borderId="1" xfId="0" applyNumberFormat="1" applyFont="1" applyBorder="1">
      <alignment vertical="center"/>
    </xf>
    <xf numFmtId="41" fontId="38" fillId="0" borderId="1" xfId="0" applyNumberFormat="1" applyFont="1" applyBorder="1">
      <alignment vertical="center"/>
    </xf>
    <xf numFmtId="0" fontId="5" fillId="0" borderId="69" xfId="0" applyFont="1" applyBorder="1" applyAlignment="1">
      <alignment horizontal="center" vertical="center"/>
    </xf>
    <xf numFmtId="0" fontId="4" fillId="0" borderId="87" xfId="0" applyFont="1" applyBorder="1" applyAlignment="1">
      <alignment horizontal="center" vertical="center"/>
    </xf>
    <xf numFmtId="0" fontId="31" fillId="0" borderId="64" xfId="0" applyFont="1" applyBorder="1" applyAlignment="1">
      <alignment horizontal="center" vertical="center"/>
    </xf>
    <xf numFmtId="41" fontId="4" fillId="0" borderId="69" xfId="1" applyFont="1" applyBorder="1" applyAlignment="1">
      <alignment horizontal="right" vertical="center"/>
    </xf>
    <xf numFmtId="3" fontId="31" fillId="0" borderId="64" xfId="0" applyNumberFormat="1" applyFont="1" applyBorder="1" applyAlignment="1">
      <alignment horizontal="right" vertical="center"/>
    </xf>
    <xf numFmtId="41" fontId="39" fillId="0" borderId="64" xfId="1" applyFont="1" applyBorder="1" applyAlignment="1">
      <alignment horizontal="right" vertical="center"/>
    </xf>
    <xf numFmtId="3" fontId="4" fillId="0" borderId="56" xfId="0" applyNumberFormat="1" applyFont="1" applyBorder="1" applyAlignment="1">
      <alignment horizontal="center" vertical="center"/>
    </xf>
    <xf numFmtId="0" fontId="34" fillId="7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right" vertical="center"/>
    </xf>
    <xf numFmtId="0" fontId="27" fillId="15" borderId="0" xfId="0" applyFont="1" applyFill="1" applyAlignment="1">
      <alignment horizontal="center" vertical="center" wrapText="1"/>
    </xf>
    <xf numFmtId="182" fontId="27" fillId="15" borderId="0" xfId="0" applyNumberFormat="1" applyFont="1" applyFill="1" applyAlignment="1">
      <alignment horizontal="center" vertical="center" wrapText="1"/>
    </xf>
    <xf numFmtId="182" fontId="27" fillId="15" borderId="0" xfId="0" quotePrefix="1" applyNumberFormat="1" applyFont="1" applyFill="1" applyAlignment="1">
      <alignment horizontal="center" vertical="center" wrapText="1"/>
    </xf>
    <xf numFmtId="182" fontId="27" fillId="7" borderId="0" xfId="0" quotePrefix="1" applyNumberFormat="1" applyFont="1" applyFill="1" applyAlignment="1">
      <alignment horizontal="center" vertical="center" wrapText="1"/>
    </xf>
    <xf numFmtId="0" fontId="40" fillId="15" borderId="0" xfId="0" applyFont="1" applyFill="1" applyAlignment="1">
      <alignment vertical="center" wrapText="1"/>
    </xf>
    <xf numFmtId="1" fontId="4" fillId="0" borderId="56" xfId="0" applyNumberFormat="1" applyFont="1" applyBorder="1" applyAlignment="1">
      <alignment horizontal="center" vertical="center"/>
    </xf>
    <xf numFmtId="1" fontId="4" fillId="0" borderId="113" xfId="0" applyNumberFormat="1" applyFont="1" applyBorder="1" applyAlignment="1">
      <alignment horizontal="center" vertical="center"/>
    </xf>
    <xf numFmtId="1" fontId="4" fillId="0" borderId="69" xfId="0" applyNumberFormat="1" applyFont="1" applyBorder="1" applyAlignment="1">
      <alignment horizontal="center" vertical="center"/>
    </xf>
    <xf numFmtId="1" fontId="31" fillId="0" borderId="113" xfId="0" applyNumberFormat="1" applyFont="1" applyBorder="1" applyAlignment="1">
      <alignment horizontal="center" vertical="center"/>
    </xf>
    <xf numFmtId="1" fontId="5" fillId="0" borderId="69" xfId="0" applyNumberFormat="1" applyFont="1" applyBorder="1" applyAlignment="1">
      <alignment horizontal="center" vertical="center"/>
    </xf>
    <xf numFmtId="1" fontId="4" fillId="0" borderId="64" xfId="0" applyNumberFormat="1" applyFont="1" applyBorder="1" applyAlignment="1">
      <alignment horizontal="center" vertical="center"/>
    </xf>
    <xf numFmtId="178" fontId="20" fillId="14" borderId="128" xfId="0" applyNumberFormat="1" applyFont="1" applyFill="1" applyBorder="1">
      <alignment vertical="center"/>
    </xf>
    <xf numFmtId="178" fontId="35" fillId="0" borderId="75" xfId="1" applyNumberFormat="1" applyFont="1" applyBorder="1" applyAlignment="1">
      <alignment horizontal="right" vertical="center"/>
    </xf>
    <xf numFmtId="178" fontId="0" fillId="7" borderId="73" xfId="1" applyNumberFormat="1" applyFont="1" applyFill="1" applyBorder="1" applyAlignment="1">
      <alignment horizontal="right" vertical="center"/>
    </xf>
    <xf numFmtId="178" fontId="0" fillId="7" borderId="74" xfId="1" applyNumberFormat="1" applyFont="1" applyFill="1" applyBorder="1" applyAlignment="1">
      <alignment horizontal="right" vertical="center"/>
    </xf>
    <xf numFmtId="178" fontId="0" fillId="7" borderId="75" xfId="1" applyNumberFormat="1" applyFont="1" applyFill="1" applyBorder="1" applyAlignment="1">
      <alignment horizontal="right" vertical="center"/>
    </xf>
    <xf numFmtId="178" fontId="0" fillId="7" borderId="71" xfId="1" applyNumberFormat="1" applyFont="1" applyFill="1" applyBorder="1" applyAlignment="1">
      <alignment horizontal="right" vertical="center"/>
    </xf>
    <xf numFmtId="179" fontId="0" fillId="7" borderId="131" xfId="1" applyNumberFormat="1" applyFont="1" applyFill="1" applyBorder="1">
      <alignment vertical="center"/>
    </xf>
    <xf numFmtId="179" fontId="15" fillId="7" borderId="130" xfId="1" applyNumberFormat="1" applyFont="1" applyFill="1" applyBorder="1">
      <alignment vertical="center"/>
    </xf>
    <xf numFmtId="3" fontId="27" fillId="14" borderId="11" xfId="0" applyNumberFormat="1" applyFont="1" applyFill="1" applyBorder="1" applyAlignment="1">
      <alignment horizontal="right" vertical="center" wrapText="1"/>
    </xf>
    <xf numFmtId="183" fontId="27" fillId="14" borderId="18" xfId="0" applyNumberFormat="1" applyFont="1" applyFill="1" applyBorder="1" applyAlignment="1">
      <alignment horizontal="right" vertical="center" wrapText="1"/>
    </xf>
    <xf numFmtId="3" fontId="27" fillId="14" borderId="3" xfId="0" applyNumberFormat="1" applyFont="1" applyFill="1" applyBorder="1" applyAlignment="1">
      <alignment horizontal="right" vertical="center" wrapText="1"/>
    </xf>
    <xf numFmtId="183" fontId="27" fillId="14" borderId="108" xfId="0" applyNumberFormat="1" applyFont="1" applyFill="1" applyBorder="1" applyAlignment="1">
      <alignment horizontal="right" vertical="center" wrapText="1"/>
    </xf>
    <xf numFmtId="3" fontId="27" fillId="14" borderId="108" xfId="0" applyNumberFormat="1" applyFont="1" applyFill="1" applyBorder="1" applyAlignment="1">
      <alignment horizontal="right" vertical="center" wrapText="1"/>
    </xf>
    <xf numFmtId="183" fontId="27" fillId="14" borderId="1" xfId="0" applyNumberFormat="1" applyFont="1" applyFill="1" applyBorder="1" applyAlignment="1">
      <alignment horizontal="right" vertical="center" wrapText="1"/>
    </xf>
    <xf numFmtId="3" fontId="33" fillId="14" borderId="120" xfId="0" applyNumberFormat="1" applyFont="1" applyFill="1" applyBorder="1" applyAlignment="1">
      <alignment horizontal="right" vertical="center" wrapText="1"/>
    </xf>
    <xf numFmtId="183" fontId="33" fillId="14" borderId="22" xfId="0" applyNumberFormat="1" applyFont="1" applyFill="1" applyBorder="1" applyAlignment="1">
      <alignment horizontal="right" vertical="center" wrapText="1"/>
    </xf>
    <xf numFmtId="3" fontId="27" fillId="14" borderId="91" xfId="0" applyNumberFormat="1" applyFont="1" applyFill="1" applyBorder="1" applyAlignment="1">
      <alignment horizontal="right" vertical="center" wrapText="1"/>
    </xf>
    <xf numFmtId="183" fontId="33" fillId="14" borderId="21" xfId="0" applyNumberFormat="1" applyFont="1" applyFill="1" applyBorder="1" applyAlignment="1">
      <alignment horizontal="right" vertical="center" wrapText="1"/>
    </xf>
    <xf numFmtId="0" fontId="27" fillId="14" borderId="120" xfId="0" applyFont="1" applyFill="1" applyBorder="1" applyAlignment="1">
      <alignment horizontal="right" vertical="center" wrapText="1"/>
    </xf>
    <xf numFmtId="183" fontId="27" fillId="14" borderId="21" xfId="0" quotePrefix="1" applyNumberFormat="1" applyFont="1" applyFill="1" applyBorder="1" applyAlignment="1">
      <alignment horizontal="right" vertical="center" wrapText="1"/>
    </xf>
    <xf numFmtId="3" fontId="27" fillId="14" borderId="22" xfId="0" applyNumberFormat="1" applyFont="1" applyFill="1" applyBorder="1" applyAlignment="1">
      <alignment horizontal="right" vertical="center" wrapText="1"/>
    </xf>
    <xf numFmtId="0" fontId="27" fillId="0" borderId="11" xfId="0" applyFont="1" applyBorder="1" applyAlignment="1">
      <alignment horizontal="right" vertical="center" wrapText="1"/>
    </xf>
    <xf numFmtId="3" fontId="27" fillId="0" borderId="120" xfId="0" applyNumberFormat="1" applyFont="1" applyBorder="1" applyAlignment="1">
      <alignment horizontal="right" vertical="center" wrapText="1"/>
    </xf>
    <xf numFmtId="183" fontId="27" fillId="0" borderId="21" xfId="0" applyNumberFormat="1" applyFont="1" applyBorder="1" applyAlignment="1">
      <alignment horizontal="right" vertical="center" wrapText="1"/>
    </xf>
    <xf numFmtId="3" fontId="27" fillId="0" borderId="21" xfId="0" applyNumberFormat="1" applyFont="1" applyBorder="1" applyAlignment="1">
      <alignment horizontal="right" vertical="center" wrapText="1"/>
    </xf>
    <xf numFmtId="0" fontId="27" fillId="0" borderId="111" xfId="0" quotePrefix="1" applyFont="1" applyBorder="1" applyAlignment="1">
      <alignment horizontal="right" vertical="center" wrapText="1"/>
    </xf>
    <xf numFmtId="3" fontId="27" fillId="0" borderId="109" xfId="0" applyNumberFormat="1" applyFont="1" applyBorder="1" applyAlignment="1">
      <alignment horizontal="right" vertical="center" wrapText="1"/>
    </xf>
    <xf numFmtId="183" fontId="27" fillId="0" borderId="110" xfId="0" applyNumberFormat="1" applyFont="1" applyBorder="1" applyAlignment="1">
      <alignment horizontal="right" vertical="center" wrapText="1"/>
    </xf>
    <xf numFmtId="3" fontId="27" fillId="0" borderId="110" xfId="0" quotePrefix="1" applyNumberFormat="1" applyFont="1" applyBorder="1" applyAlignment="1">
      <alignment horizontal="right" vertical="center" wrapText="1"/>
    </xf>
    <xf numFmtId="3" fontId="33" fillId="0" borderId="118" xfId="0" applyNumberFormat="1" applyFont="1" applyBorder="1" applyAlignment="1">
      <alignment horizontal="right" vertical="center" wrapText="1"/>
    </xf>
    <xf numFmtId="183" fontId="33" fillId="14" borderId="117" xfId="0" applyNumberFormat="1" applyFont="1" applyFill="1" applyBorder="1" applyAlignment="1">
      <alignment horizontal="right" vertical="center" wrapText="1"/>
    </xf>
    <xf numFmtId="0" fontId="27" fillId="0" borderId="88" xfId="0" quotePrefix="1" applyFont="1" applyBorder="1" applyAlignment="1">
      <alignment horizontal="right" vertical="center" wrapText="1"/>
    </xf>
    <xf numFmtId="183" fontId="27" fillId="0" borderId="91" xfId="0" quotePrefix="1" applyNumberFormat="1" applyFont="1" applyBorder="1" applyAlignment="1">
      <alignment horizontal="right" vertical="center" wrapText="1"/>
    </xf>
    <xf numFmtId="0" fontId="27" fillId="0" borderId="91" xfId="0" applyFont="1" applyBorder="1" applyAlignment="1">
      <alignment horizontal="right" vertical="center" wrapText="1"/>
    </xf>
    <xf numFmtId="0" fontId="3" fillId="0" borderId="0" xfId="0" applyFont="1" applyAlignment="1">
      <alignment horizontal="right" vertical="center"/>
    </xf>
    <xf numFmtId="0" fontId="42" fillId="0" borderId="0" xfId="0" applyFont="1" applyAlignment="1">
      <alignment horizontal="center" vertical="center"/>
    </xf>
    <xf numFmtId="178" fontId="35" fillId="7" borderId="15" xfId="1" applyNumberFormat="1" applyFont="1" applyFill="1" applyBorder="1">
      <alignment vertical="center"/>
    </xf>
    <xf numFmtId="178" fontId="35" fillId="7" borderId="5" xfId="1" applyNumberFormat="1" applyFont="1" applyFill="1" applyBorder="1">
      <alignment vertical="center"/>
    </xf>
    <xf numFmtId="184" fontId="35" fillId="7" borderId="6" xfId="3" applyNumberFormat="1" applyFont="1" applyFill="1" applyBorder="1">
      <alignment vertical="center"/>
    </xf>
    <xf numFmtId="178" fontId="35" fillId="7" borderId="5" xfId="2" applyNumberFormat="1" applyFont="1" applyFill="1" applyBorder="1">
      <alignment vertical="center"/>
    </xf>
    <xf numFmtId="3" fontId="27" fillId="14" borderId="12" xfId="0" applyNumberFormat="1" applyFont="1" applyFill="1" applyBorder="1" applyAlignment="1">
      <alignment horizontal="right" vertical="center" wrapText="1"/>
    </xf>
    <xf numFmtId="3" fontId="27" fillId="14" borderId="14" xfId="0" applyNumberFormat="1" applyFont="1" applyFill="1" applyBorder="1" applyAlignment="1">
      <alignment horizontal="right" vertical="center" wrapText="1"/>
    </xf>
    <xf numFmtId="3" fontId="27" fillId="0" borderId="14" xfId="0" applyNumberFormat="1" applyFont="1" applyBorder="1" applyAlignment="1">
      <alignment horizontal="right" vertical="center" wrapText="1"/>
    </xf>
    <xf numFmtId="3" fontId="27" fillId="0" borderId="112" xfId="0" applyNumberFormat="1" applyFont="1" applyBorder="1" applyAlignment="1">
      <alignment horizontal="right" vertical="center" wrapText="1"/>
    </xf>
    <xf numFmtId="3" fontId="27" fillId="0" borderId="89" xfId="0" applyNumberFormat="1" applyFont="1" applyBorder="1" applyAlignment="1">
      <alignment horizontal="right" vertical="center" wrapText="1"/>
    </xf>
    <xf numFmtId="0" fontId="28" fillId="18" borderId="39" xfId="0" applyFont="1" applyFill="1" applyBorder="1" applyAlignment="1">
      <alignment horizontal="center" vertical="center" wrapText="1"/>
    </xf>
    <xf numFmtId="3" fontId="28" fillId="18" borderId="25" xfId="0" applyNumberFormat="1" applyFont="1" applyFill="1" applyBorder="1" applyAlignment="1">
      <alignment horizontal="right" vertical="center" wrapText="1"/>
    </xf>
    <xf numFmtId="3" fontId="28" fillId="18" borderId="32" xfId="0" applyNumberFormat="1" applyFont="1" applyFill="1" applyBorder="1" applyAlignment="1">
      <alignment horizontal="right" vertical="center" wrapText="1"/>
    </xf>
    <xf numFmtId="0" fontId="28" fillId="18" borderId="30" xfId="0" applyFont="1" applyFill="1" applyBorder="1" applyAlignment="1">
      <alignment horizontal="right" vertical="center" wrapText="1"/>
    </xf>
    <xf numFmtId="3" fontId="28" fillId="18" borderId="29" xfId="0" applyNumberFormat="1" applyFont="1" applyFill="1" applyBorder="1" applyAlignment="1">
      <alignment horizontal="right" vertical="center" wrapText="1"/>
    </xf>
    <xf numFmtId="0" fontId="28" fillId="18" borderId="34" xfId="0" applyFont="1" applyFill="1" applyBorder="1" applyAlignment="1">
      <alignment horizontal="right" vertical="center" wrapText="1"/>
    </xf>
    <xf numFmtId="3" fontId="28" fillId="18" borderId="34" xfId="0" applyNumberFormat="1" applyFont="1" applyFill="1" applyBorder="1" applyAlignment="1">
      <alignment horizontal="right" vertical="center" wrapText="1"/>
    </xf>
    <xf numFmtId="178" fontId="14" fillId="19" borderId="25" xfId="1" applyNumberFormat="1" applyFont="1" applyFill="1" applyBorder="1">
      <alignment vertical="center"/>
    </xf>
    <xf numFmtId="178" fontId="14" fillId="19" borderId="29" xfId="1" applyNumberFormat="1" applyFont="1" applyFill="1" applyBorder="1">
      <alignment vertical="center"/>
    </xf>
    <xf numFmtId="178" fontId="14" fillId="19" borderId="32" xfId="1" applyNumberFormat="1" applyFont="1" applyFill="1" applyBorder="1">
      <alignment vertical="center"/>
    </xf>
    <xf numFmtId="10" fontId="35" fillId="7" borderId="64" xfId="3" applyNumberFormat="1" applyFont="1" applyFill="1" applyBorder="1">
      <alignment vertical="center"/>
    </xf>
    <xf numFmtId="184" fontId="35" fillId="7" borderId="64" xfId="3" applyNumberFormat="1" applyFont="1" applyFill="1" applyBorder="1">
      <alignment vertical="center"/>
    </xf>
    <xf numFmtId="180" fontId="35" fillId="7" borderId="64" xfId="1" applyNumberFormat="1" applyFont="1" applyFill="1" applyBorder="1">
      <alignment vertical="center"/>
    </xf>
    <xf numFmtId="184" fontId="43" fillId="7" borderId="64" xfId="3" applyNumberFormat="1" applyFont="1" applyFill="1" applyBorder="1">
      <alignment vertical="center"/>
    </xf>
    <xf numFmtId="0" fontId="14" fillId="5" borderId="134" xfId="0" applyFont="1" applyFill="1" applyBorder="1" applyAlignment="1">
      <alignment horizontal="center" vertical="center" wrapText="1"/>
    </xf>
    <xf numFmtId="10" fontId="35" fillId="7" borderId="132" xfId="3" applyNumberFormat="1" applyFont="1" applyFill="1" applyBorder="1">
      <alignment vertical="center"/>
    </xf>
    <xf numFmtId="180" fontId="35" fillId="7" borderId="132" xfId="1" applyNumberFormat="1" applyFont="1" applyFill="1" applyBorder="1">
      <alignment vertical="center"/>
    </xf>
    <xf numFmtId="184" fontId="35" fillId="7" borderId="134" xfId="3" applyNumberFormat="1" applyFont="1" applyFill="1" applyBorder="1">
      <alignment vertical="center"/>
    </xf>
    <xf numFmtId="180" fontId="35" fillId="7" borderId="134" xfId="1" applyNumberFormat="1" applyFont="1" applyFill="1" applyBorder="1">
      <alignment vertical="center"/>
    </xf>
    <xf numFmtId="10" fontId="14" fillId="19" borderId="136" xfId="1" applyNumberFormat="1" applyFont="1" applyFill="1" applyBorder="1">
      <alignment vertical="center"/>
    </xf>
    <xf numFmtId="180" fontId="14" fillId="19" borderId="136" xfId="0" applyNumberFormat="1" applyFont="1" applyFill="1" applyBorder="1">
      <alignment vertical="center"/>
    </xf>
    <xf numFmtId="0" fontId="14" fillId="10" borderId="12" xfId="0" applyFont="1" applyFill="1" applyBorder="1" applyAlignment="1">
      <alignment horizontal="center" vertical="center"/>
    </xf>
    <xf numFmtId="0" fontId="14" fillId="10" borderId="15" xfId="0" applyFont="1" applyFill="1" applyBorder="1" applyAlignment="1">
      <alignment horizontal="center" vertical="center"/>
    </xf>
    <xf numFmtId="0" fontId="14" fillId="10" borderId="15" xfId="0" applyFont="1" applyFill="1" applyBorder="1" applyAlignment="1">
      <alignment horizontal="center" vertical="center" wrapText="1"/>
    </xf>
    <xf numFmtId="0" fontId="14" fillId="10" borderId="137" xfId="0" applyFont="1" applyFill="1" applyBorder="1" applyAlignment="1">
      <alignment horizontal="center" vertical="center"/>
    </xf>
    <xf numFmtId="0" fontId="14" fillId="19" borderId="25" xfId="0" applyFont="1" applyFill="1" applyBorder="1" applyAlignment="1">
      <alignment horizontal="center" vertical="center"/>
    </xf>
    <xf numFmtId="184" fontId="43" fillId="7" borderId="12" xfId="3" applyNumberFormat="1" applyFont="1" applyFill="1" applyBorder="1">
      <alignment vertical="center"/>
    </xf>
    <xf numFmtId="184" fontId="43" fillId="7" borderId="15" xfId="3" applyNumberFormat="1" applyFont="1" applyFill="1" applyBorder="1">
      <alignment vertical="center"/>
    </xf>
    <xf numFmtId="184" fontId="43" fillId="7" borderId="15" xfId="3" applyNumberFormat="1" applyFont="1" applyFill="1" applyBorder="1" applyAlignment="1">
      <alignment horizontal="right" vertical="center"/>
    </xf>
    <xf numFmtId="184" fontId="43" fillId="7" borderId="137" xfId="3" applyNumberFormat="1" applyFont="1" applyFill="1" applyBorder="1">
      <alignment vertical="center"/>
    </xf>
    <xf numFmtId="184" fontId="18" fillId="19" borderId="25" xfId="3" applyNumberFormat="1" applyFont="1" applyFill="1" applyBorder="1">
      <alignment vertical="center"/>
    </xf>
    <xf numFmtId="180" fontId="35" fillId="7" borderId="3" xfId="1" applyNumberFormat="1" applyFont="1" applyFill="1" applyBorder="1">
      <alignment vertical="center"/>
    </xf>
    <xf numFmtId="180" fontId="35" fillId="7" borderId="4" xfId="2" applyNumberFormat="1" applyFont="1" applyFill="1" applyBorder="1">
      <alignment vertical="center"/>
    </xf>
    <xf numFmtId="180" fontId="35" fillId="7" borderId="5" xfId="1" applyNumberFormat="1" applyFont="1" applyFill="1" applyBorder="1">
      <alignment vertical="center"/>
    </xf>
    <xf numFmtId="180" fontId="35" fillId="7" borderId="6" xfId="1" applyNumberFormat="1" applyFont="1" applyFill="1" applyBorder="1">
      <alignment vertical="center"/>
    </xf>
    <xf numFmtId="180" fontId="35" fillId="7" borderId="6" xfId="2" applyNumberFormat="1" applyFont="1" applyFill="1" applyBorder="1">
      <alignment vertical="center"/>
    </xf>
    <xf numFmtId="180" fontId="35" fillId="7" borderId="133" xfId="1" applyNumberFormat="1" applyFont="1" applyFill="1" applyBorder="1">
      <alignment vertical="center"/>
    </xf>
    <xf numFmtId="180" fontId="35" fillId="7" borderId="135" xfId="1" applyNumberFormat="1" applyFont="1" applyFill="1" applyBorder="1">
      <alignment vertical="center"/>
    </xf>
    <xf numFmtId="180" fontId="14" fillId="19" borderId="29" xfId="0" applyNumberFormat="1" applyFont="1" applyFill="1" applyBorder="1">
      <alignment vertical="center"/>
    </xf>
    <xf numFmtId="180" fontId="14" fillId="19" borderId="31" xfId="0" applyNumberFormat="1" applyFont="1" applyFill="1" applyBorder="1">
      <alignment vertical="center"/>
    </xf>
    <xf numFmtId="178" fontId="35" fillId="7" borderId="12" xfId="1" applyNumberFormat="1" applyFont="1" applyFill="1" applyBorder="1">
      <alignment vertical="center"/>
    </xf>
    <xf numFmtId="178" fontId="35" fillId="7" borderId="137" xfId="1" applyNumberFormat="1" applyFont="1" applyFill="1" applyBorder="1">
      <alignment vertical="center"/>
    </xf>
    <xf numFmtId="0" fontId="14" fillId="5" borderId="133" xfId="0" applyFont="1" applyFill="1" applyBorder="1" applyAlignment="1">
      <alignment horizontal="center" vertical="center"/>
    </xf>
    <xf numFmtId="178" fontId="35" fillId="7" borderId="3" xfId="1" applyNumberFormat="1" applyFont="1" applyFill="1" applyBorder="1">
      <alignment vertical="center"/>
    </xf>
    <xf numFmtId="178" fontId="35" fillId="7" borderId="4" xfId="1" applyNumberFormat="1" applyFont="1" applyFill="1" applyBorder="1">
      <alignment vertical="center"/>
    </xf>
    <xf numFmtId="178" fontId="35" fillId="7" borderId="6" xfId="1" applyNumberFormat="1" applyFont="1" applyFill="1" applyBorder="1">
      <alignment vertical="center"/>
    </xf>
    <xf numFmtId="178" fontId="35" fillId="7" borderId="133" xfId="1" applyNumberFormat="1" applyFont="1" applyFill="1" applyBorder="1">
      <alignment vertical="center"/>
    </xf>
    <xf numFmtId="178" fontId="35" fillId="7" borderId="135" xfId="1" applyNumberFormat="1" applyFont="1" applyFill="1" applyBorder="1">
      <alignment vertical="center"/>
    </xf>
    <xf numFmtId="178" fontId="14" fillId="19" borderId="31" xfId="1" applyNumberFormat="1" applyFont="1" applyFill="1" applyBorder="1">
      <alignment vertical="center"/>
    </xf>
    <xf numFmtId="178" fontId="35" fillId="7" borderId="86" xfId="1" applyNumberFormat="1" applyFont="1" applyFill="1" applyBorder="1">
      <alignment vertical="center"/>
    </xf>
    <xf numFmtId="178" fontId="35" fillId="7" borderId="87" xfId="1" applyNumberFormat="1" applyFont="1" applyFill="1" applyBorder="1">
      <alignment vertical="center"/>
    </xf>
    <xf numFmtId="178" fontId="35" fillId="7" borderId="138" xfId="1" applyNumberFormat="1" applyFont="1" applyFill="1" applyBorder="1">
      <alignment vertical="center"/>
    </xf>
    <xf numFmtId="0" fontId="14" fillId="5" borderId="133" xfId="0" applyFont="1" applyFill="1" applyBorder="1" applyAlignment="1">
      <alignment horizontal="center" vertical="center" wrapText="1"/>
    </xf>
    <xf numFmtId="0" fontId="14" fillId="5" borderId="135" xfId="0" applyFont="1" applyFill="1" applyBorder="1" applyAlignment="1">
      <alignment horizontal="center" vertical="center"/>
    </xf>
    <xf numFmtId="178" fontId="35" fillId="7" borderId="3" xfId="2" applyNumberFormat="1" applyFont="1" applyFill="1" applyBorder="1">
      <alignment vertical="center"/>
    </xf>
    <xf numFmtId="184" fontId="35" fillId="7" borderId="4" xfId="3" applyNumberFormat="1" applyFont="1" applyFill="1" applyBorder="1">
      <alignment vertical="center"/>
    </xf>
    <xf numFmtId="178" fontId="35" fillId="7" borderId="5" xfId="0" applyNumberFormat="1" applyFont="1" applyFill="1" applyBorder="1">
      <alignment vertical="center"/>
    </xf>
    <xf numFmtId="184" fontId="35" fillId="7" borderId="135" xfId="3" applyNumberFormat="1" applyFont="1" applyFill="1" applyBorder="1">
      <alignment vertical="center"/>
    </xf>
    <xf numFmtId="184" fontId="14" fillId="19" borderId="31" xfId="3" applyNumberFormat="1" applyFont="1" applyFill="1" applyBorder="1">
      <alignment vertical="center"/>
    </xf>
    <xf numFmtId="184" fontId="27" fillId="14" borderId="19" xfId="3" applyNumberFormat="1" applyFont="1" applyFill="1" applyBorder="1" applyAlignment="1">
      <alignment horizontal="right" vertical="center" wrapText="1"/>
    </xf>
    <xf numFmtId="184" fontId="27" fillId="14" borderId="21" xfId="3" applyNumberFormat="1" applyFont="1" applyFill="1" applyBorder="1" applyAlignment="1">
      <alignment horizontal="right" vertical="center" wrapText="1"/>
    </xf>
    <xf numFmtId="184" fontId="27" fillId="14" borderId="21" xfId="3" quotePrefix="1" applyNumberFormat="1" applyFont="1" applyFill="1" applyBorder="1" applyAlignment="1">
      <alignment horizontal="right" vertical="center" wrapText="1"/>
    </xf>
    <xf numFmtId="184" fontId="27" fillId="0" borderId="91" xfId="3" quotePrefix="1" applyNumberFormat="1" applyFont="1" applyBorder="1" applyAlignment="1">
      <alignment horizontal="right" vertical="center" wrapText="1"/>
    </xf>
    <xf numFmtId="184" fontId="28" fillId="18" borderId="34" xfId="3" applyNumberFormat="1" applyFont="1" applyFill="1" applyBorder="1" applyAlignment="1">
      <alignment horizontal="right" vertical="center" wrapText="1"/>
    </xf>
    <xf numFmtId="3" fontId="28" fillId="18" borderId="14" xfId="0" applyNumberFormat="1" applyFont="1" applyFill="1" applyBorder="1" applyAlignment="1">
      <alignment horizontal="right" vertical="center" wrapText="1"/>
    </xf>
    <xf numFmtId="3" fontId="27" fillId="18" borderId="11" xfId="0" applyNumberFormat="1" applyFont="1" applyFill="1" applyBorder="1" applyAlignment="1">
      <alignment horizontal="right" vertical="center" wrapText="1"/>
    </xf>
    <xf numFmtId="183" fontId="27" fillId="18" borderId="1" xfId="0" applyNumberFormat="1" applyFont="1" applyFill="1" applyBorder="1" applyAlignment="1">
      <alignment horizontal="right" vertical="center" wrapText="1"/>
    </xf>
    <xf numFmtId="3" fontId="27" fillId="18" borderId="120" xfId="0" applyNumberFormat="1" applyFont="1" applyFill="1" applyBorder="1" applyAlignment="1">
      <alignment horizontal="right" vertical="center" wrapText="1"/>
    </xf>
    <xf numFmtId="183" fontId="27" fillId="18" borderId="21" xfId="0" applyNumberFormat="1" applyFont="1" applyFill="1" applyBorder="1" applyAlignment="1">
      <alignment horizontal="right" vertical="center" wrapText="1"/>
    </xf>
    <xf numFmtId="3" fontId="27" fillId="18" borderId="21" xfId="0" applyNumberFormat="1" applyFont="1" applyFill="1" applyBorder="1" applyAlignment="1">
      <alignment horizontal="right" vertical="center" wrapText="1"/>
    </xf>
    <xf numFmtId="184" fontId="27" fillId="18" borderId="21" xfId="3" applyNumberFormat="1" applyFont="1" applyFill="1" applyBorder="1" applyAlignment="1">
      <alignment horizontal="right" vertical="center" wrapText="1"/>
    </xf>
    <xf numFmtId="0" fontId="28" fillId="16" borderId="108" xfId="0" applyFont="1" applyFill="1" applyBorder="1" applyAlignment="1">
      <alignment horizontal="center" vertical="center" wrapText="1"/>
    </xf>
    <xf numFmtId="0" fontId="28" fillId="16" borderId="85" xfId="0" applyFont="1" applyFill="1" applyBorder="1" applyAlignment="1">
      <alignment horizontal="center" vertical="center" wrapText="1"/>
    </xf>
    <xf numFmtId="0" fontId="28" fillId="16" borderId="90" xfId="0" applyFont="1" applyFill="1" applyBorder="1" applyAlignment="1">
      <alignment horizontal="center" vertical="center" wrapText="1"/>
    </xf>
    <xf numFmtId="0" fontId="28" fillId="16" borderId="109" xfId="0" applyFont="1" applyFill="1" applyBorder="1" applyAlignment="1">
      <alignment horizontal="center" vertical="center" wrapText="1"/>
    </xf>
    <xf numFmtId="0" fontId="28" fillId="16" borderId="110" xfId="0" applyFont="1" applyFill="1" applyBorder="1" applyAlignment="1">
      <alignment horizontal="center" vertical="center" wrapText="1"/>
    </xf>
    <xf numFmtId="0" fontId="28" fillId="15" borderId="0" xfId="0" applyFont="1" applyFill="1" applyAlignment="1">
      <alignment horizontal="right" vertical="center" wrapText="1"/>
    </xf>
    <xf numFmtId="180" fontId="27" fillId="14" borderId="19" xfId="0" applyNumberFormat="1" applyFont="1" applyFill="1" applyBorder="1" applyAlignment="1">
      <alignment horizontal="center" vertical="center" wrapText="1"/>
    </xf>
    <xf numFmtId="180" fontId="27" fillId="14" borderId="21" xfId="0" applyNumberFormat="1" applyFont="1" applyFill="1" applyBorder="1" applyAlignment="1">
      <alignment horizontal="center" vertical="center" wrapText="1"/>
    </xf>
    <xf numFmtId="180" fontId="27" fillId="14" borderId="21" xfId="0" quotePrefix="1" applyNumberFormat="1" applyFont="1" applyFill="1" applyBorder="1" applyAlignment="1">
      <alignment horizontal="center" vertical="center" wrapText="1"/>
    </xf>
    <xf numFmtId="180" fontId="27" fillId="18" borderId="21" xfId="0" applyNumberFormat="1" applyFont="1" applyFill="1" applyBorder="1" applyAlignment="1">
      <alignment horizontal="center" vertical="center" wrapText="1"/>
    </xf>
    <xf numFmtId="180" fontId="27" fillId="0" borderId="21" xfId="0" applyNumberFormat="1" applyFont="1" applyBorder="1" applyAlignment="1">
      <alignment horizontal="center" vertical="center" wrapText="1"/>
    </xf>
    <xf numFmtId="180" fontId="27" fillId="0" borderId="110" xfId="0" applyNumberFormat="1" applyFont="1" applyBorder="1" applyAlignment="1">
      <alignment horizontal="center" vertical="center" wrapText="1"/>
    </xf>
    <xf numFmtId="180" fontId="27" fillId="0" borderId="91" xfId="0" quotePrefix="1" applyNumberFormat="1" applyFont="1" applyBorder="1" applyAlignment="1">
      <alignment horizontal="center" vertical="center" wrapText="1"/>
    </xf>
    <xf numFmtId="180" fontId="28" fillId="18" borderId="34" xfId="0" applyNumberFormat="1" applyFont="1" applyFill="1" applyBorder="1" applyAlignment="1">
      <alignment horizontal="center" vertical="center" wrapText="1"/>
    </xf>
    <xf numFmtId="0" fontId="28" fillId="17" borderId="35" xfId="0" applyFont="1" applyFill="1" applyBorder="1" applyAlignment="1">
      <alignment horizontal="center" vertical="center" wrapText="1"/>
    </xf>
    <xf numFmtId="0" fontId="28" fillId="17" borderId="37" xfId="0" applyFont="1" applyFill="1" applyBorder="1" applyAlignment="1">
      <alignment horizontal="center" vertical="center" wrapText="1"/>
    </xf>
    <xf numFmtId="0" fontId="28" fillId="18" borderId="37" xfId="0" applyFont="1" applyFill="1" applyBorder="1" applyAlignment="1">
      <alignment horizontal="center" vertical="center" wrapText="1"/>
    </xf>
    <xf numFmtId="0" fontId="28" fillId="10" borderId="37" xfId="0" applyFont="1" applyFill="1" applyBorder="1" applyAlignment="1">
      <alignment horizontal="center" vertical="center" wrapText="1"/>
    </xf>
    <xf numFmtId="0" fontId="28" fillId="10" borderId="107" xfId="0" applyFont="1" applyFill="1" applyBorder="1" applyAlignment="1">
      <alignment horizontal="center" vertical="center" wrapText="1"/>
    </xf>
    <xf numFmtId="0" fontId="28" fillId="10" borderId="119" xfId="0" applyFont="1" applyFill="1" applyBorder="1" applyAlignment="1">
      <alignment horizontal="center" vertical="center" wrapText="1"/>
    </xf>
    <xf numFmtId="178" fontId="43" fillId="7" borderId="66" xfId="1" applyNumberFormat="1" applyFont="1" applyFill="1" applyBorder="1" applyAlignment="1">
      <alignment horizontal="right" vertical="center"/>
    </xf>
    <xf numFmtId="178" fontId="44" fillId="7" borderId="71" xfId="1" applyNumberFormat="1" applyFont="1" applyFill="1" applyBorder="1" applyAlignment="1">
      <alignment horizontal="right" vertical="center"/>
    </xf>
    <xf numFmtId="178" fontId="4" fillId="7" borderId="0" xfId="1" applyNumberFormat="1" applyFont="1" applyFill="1" applyBorder="1" applyAlignment="1">
      <alignment horizontal="right" vertical="center"/>
    </xf>
    <xf numFmtId="178" fontId="39" fillId="0" borderId="0" xfId="1" applyNumberFormat="1" applyFont="1" applyBorder="1" applyAlignment="1">
      <alignment horizontal="right" vertical="center"/>
    </xf>
    <xf numFmtId="178" fontId="24" fillId="0" borderId="0" xfId="1" applyNumberFormat="1" applyFont="1" applyBorder="1" applyAlignment="1">
      <alignment horizontal="right" vertical="center"/>
    </xf>
    <xf numFmtId="3" fontId="19" fillId="0" borderId="0" xfId="0" applyNumberFormat="1" applyFont="1">
      <alignment vertical="center"/>
    </xf>
    <xf numFmtId="41" fontId="4" fillId="0" borderId="0" xfId="0" applyNumberFormat="1" applyFont="1">
      <alignment vertical="center"/>
    </xf>
    <xf numFmtId="41" fontId="45" fillId="0" borderId="0" xfId="0" applyNumberFormat="1" applyFont="1">
      <alignment vertical="center"/>
    </xf>
    <xf numFmtId="0" fontId="14" fillId="5" borderId="12" xfId="0" applyFont="1" applyFill="1" applyBorder="1" applyAlignment="1">
      <alignment horizontal="center" vertical="center"/>
    </xf>
    <xf numFmtId="0" fontId="15" fillId="5" borderId="137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>
      <alignment vertical="center"/>
    </xf>
    <xf numFmtId="0" fontId="14" fillId="5" borderId="3" xfId="0" applyFont="1" applyFill="1" applyBorder="1" applyAlignment="1">
      <alignment horizontal="center" vertical="center"/>
    </xf>
    <xf numFmtId="0" fontId="15" fillId="5" borderId="132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 wrapText="1"/>
    </xf>
    <xf numFmtId="0" fontId="15" fillId="5" borderId="135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4" fillId="5" borderId="86" xfId="0" applyFont="1" applyFill="1" applyBorder="1" applyAlignment="1">
      <alignment horizontal="center" vertical="center" wrapText="1"/>
    </xf>
    <xf numFmtId="0" fontId="14" fillId="5" borderId="138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 wrapText="1"/>
    </xf>
    <xf numFmtId="0" fontId="15" fillId="5" borderId="133" xfId="0" applyFont="1" applyFill="1" applyBorder="1" applyAlignment="1">
      <alignment horizontal="center" vertical="center"/>
    </xf>
    <xf numFmtId="0" fontId="14" fillId="5" borderId="132" xfId="0" applyFont="1" applyFill="1" applyBorder="1" applyAlignment="1">
      <alignment horizontal="center" vertical="center" wrapText="1"/>
    </xf>
    <xf numFmtId="0" fontId="15" fillId="5" borderId="134" xfId="0" applyFont="1" applyFill="1" applyBorder="1" applyAlignment="1">
      <alignment horizontal="center" vertical="center"/>
    </xf>
    <xf numFmtId="0" fontId="5" fillId="2" borderId="35" xfId="0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0" fontId="14" fillId="5" borderId="42" xfId="0" applyFont="1" applyFill="1" applyBorder="1" applyAlignment="1">
      <alignment horizontal="center" vertical="center"/>
    </xf>
    <xf numFmtId="0" fontId="14" fillId="5" borderId="53" xfId="0" applyFont="1" applyFill="1" applyBorder="1" applyAlignment="1">
      <alignment horizontal="center" vertical="center"/>
    </xf>
    <xf numFmtId="0" fontId="14" fillId="5" borderId="43" xfId="0" applyFont="1" applyFill="1" applyBorder="1" applyAlignment="1">
      <alignment horizontal="center" vertical="center"/>
    </xf>
    <xf numFmtId="0" fontId="14" fillId="5" borderId="54" xfId="0" applyFont="1" applyFill="1" applyBorder="1" applyAlignment="1">
      <alignment horizontal="center" vertical="center"/>
    </xf>
    <xf numFmtId="0" fontId="14" fillId="5" borderId="44" xfId="0" applyFont="1" applyFill="1" applyBorder="1" applyAlignment="1">
      <alignment horizontal="center" vertical="center"/>
    </xf>
    <xf numFmtId="0" fontId="14" fillId="5" borderId="55" xfId="0" applyFont="1" applyFill="1" applyBorder="1" applyAlignment="1">
      <alignment horizontal="center" vertical="center"/>
    </xf>
    <xf numFmtId="0" fontId="14" fillId="5" borderId="45" xfId="0" applyFont="1" applyFill="1" applyBorder="1" applyAlignment="1">
      <alignment horizontal="center" vertical="center"/>
    </xf>
    <xf numFmtId="0" fontId="14" fillId="5" borderId="46" xfId="0" applyFont="1" applyFill="1" applyBorder="1" applyAlignment="1">
      <alignment horizontal="center" vertical="center"/>
    </xf>
    <xf numFmtId="0" fontId="14" fillId="5" borderId="43" xfId="0" applyFont="1" applyFill="1" applyBorder="1" applyAlignment="1">
      <alignment horizontal="center" vertical="center" wrapText="1"/>
    </xf>
    <xf numFmtId="0" fontId="14" fillId="5" borderId="54" xfId="0" applyFont="1" applyFill="1" applyBorder="1" applyAlignment="1">
      <alignment horizontal="center" vertical="center" wrapText="1"/>
    </xf>
    <xf numFmtId="0" fontId="14" fillId="5" borderId="47" xfId="0" applyFont="1" applyFill="1" applyBorder="1" applyAlignment="1">
      <alignment horizontal="center" vertical="center"/>
    </xf>
    <xf numFmtId="0" fontId="14" fillId="5" borderId="48" xfId="0" applyFont="1" applyFill="1" applyBorder="1" applyAlignment="1">
      <alignment horizontal="center" vertical="center"/>
    </xf>
    <xf numFmtId="0" fontId="14" fillId="5" borderId="49" xfId="0" applyFont="1" applyFill="1" applyBorder="1" applyAlignment="1">
      <alignment horizontal="center" vertical="center"/>
    </xf>
    <xf numFmtId="0" fontId="14" fillId="10" borderId="76" xfId="0" applyFont="1" applyFill="1" applyBorder="1" applyAlignment="1">
      <alignment horizontal="center" vertical="center"/>
    </xf>
    <xf numFmtId="0" fontId="14" fillId="10" borderId="77" xfId="0" applyFont="1" applyFill="1" applyBorder="1" applyAlignment="1">
      <alignment horizontal="center" vertical="center"/>
    </xf>
    <xf numFmtId="0" fontId="14" fillId="10" borderId="78" xfId="0" applyFont="1" applyFill="1" applyBorder="1" applyAlignment="1">
      <alignment horizontal="center" vertical="center"/>
    </xf>
    <xf numFmtId="0" fontId="14" fillId="5" borderId="50" xfId="0" applyFont="1" applyFill="1" applyBorder="1" applyAlignment="1">
      <alignment horizontal="center" vertical="center" wrapText="1"/>
    </xf>
    <xf numFmtId="0" fontId="14" fillId="5" borderId="59" xfId="0" applyFont="1" applyFill="1" applyBorder="1" applyAlignment="1">
      <alignment horizontal="center" vertical="center" wrapText="1"/>
    </xf>
    <xf numFmtId="0" fontId="0" fillId="5" borderId="44" xfId="0" applyFill="1" applyBorder="1" applyAlignment="1">
      <alignment horizontal="center" vertical="center" wrapText="1"/>
    </xf>
    <xf numFmtId="0" fontId="0" fillId="5" borderId="63" xfId="0" applyFill="1" applyBorder="1" applyAlignment="1">
      <alignment horizontal="center" vertical="center" wrapText="1"/>
    </xf>
    <xf numFmtId="0" fontId="0" fillId="5" borderId="55" xfId="0" applyFill="1" applyBorder="1" applyAlignment="1">
      <alignment horizontal="center" vertical="center" wrapText="1"/>
    </xf>
    <xf numFmtId="179" fontId="14" fillId="0" borderId="50" xfId="1" applyNumberFormat="1" applyFont="1" applyBorder="1" applyAlignment="1">
      <alignment horizontal="right" vertical="center"/>
    </xf>
    <xf numFmtId="179" fontId="14" fillId="0" borderId="68" xfId="1" applyNumberFormat="1" applyFont="1" applyBorder="1" applyAlignment="1">
      <alignment horizontal="right" vertical="center"/>
    </xf>
    <xf numFmtId="179" fontId="14" fillId="0" borderId="59" xfId="1" applyNumberFormat="1" applyFont="1" applyBorder="1" applyAlignment="1">
      <alignment horizontal="right" vertical="center"/>
    </xf>
    <xf numFmtId="0" fontId="14" fillId="5" borderId="40" xfId="0" applyFont="1" applyFill="1" applyBorder="1" applyAlignment="1">
      <alignment horizontal="center" vertical="center"/>
    </xf>
    <xf numFmtId="0" fontId="14" fillId="5" borderId="41" xfId="0" applyFont="1" applyFill="1" applyBorder="1" applyAlignment="1">
      <alignment horizontal="center" vertical="center"/>
    </xf>
    <xf numFmtId="0" fontId="14" fillId="5" borderId="51" xfId="0" applyFont="1" applyFill="1" applyBorder="1" applyAlignment="1">
      <alignment horizontal="center" vertical="center"/>
    </xf>
    <xf numFmtId="0" fontId="14" fillId="5" borderId="52" xfId="0" applyFont="1" applyFill="1" applyBorder="1" applyAlignment="1">
      <alignment horizontal="center" vertical="center"/>
    </xf>
    <xf numFmtId="0" fontId="15" fillId="2" borderId="93" xfId="0" applyFont="1" applyFill="1" applyBorder="1" applyAlignment="1">
      <alignment horizontal="center" vertical="center"/>
    </xf>
    <xf numFmtId="0" fontId="15" fillId="2" borderId="94" xfId="0" applyFont="1" applyFill="1" applyBorder="1" applyAlignment="1">
      <alignment horizontal="center" vertical="center" wrapText="1"/>
    </xf>
    <xf numFmtId="0" fontId="15" fillId="2" borderId="95" xfId="0" applyFont="1" applyFill="1" applyBorder="1" applyAlignment="1">
      <alignment horizontal="center" vertical="center" wrapText="1"/>
    </xf>
    <xf numFmtId="0" fontId="15" fillId="2" borderId="50" xfId="0" applyFont="1" applyFill="1" applyBorder="1" applyAlignment="1">
      <alignment horizontal="center" vertical="center" wrapText="1"/>
    </xf>
    <xf numFmtId="0" fontId="15" fillId="2" borderId="59" xfId="0" applyFont="1" applyFill="1" applyBorder="1" applyAlignment="1">
      <alignment horizontal="center" vertical="center" wrapText="1"/>
    </xf>
    <xf numFmtId="0" fontId="15" fillId="2" borderId="93" xfId="0" applyFont="1" applyFill="1" applyBorder="1" applyAlignment="1">
      <alignment horizontal="center" vertical="center" wrapText="1"/>
    </xf>
    <xf numFmtId="0" fontId="0" fillId="0" borderId="9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4" fillId="0" borderId="56" xfId="0" applyNumberFormat="1" applyFont="1" applyBorder="1" applyAlignment="1">
      <alignment horizontal="center" vertical="center"/>
    </xf>
    <xf numFmtId="1" fontId="4" fillId="0" borderId="113" xfId="0" applyNumberFormat="1" applyFont="1" applyBorder="1" applyAlignment="1">
      <alignment horizontal="center" vertical="center"/>
    </xf>
    <xf numFmtId="1" fontId="4" fillId="0" borderId="69" xfId="0" applyNumberFormat="1" applyFont="1" applyBorder="1" applyAlignment="1">
      <alignment horizontal="center" vertical="center"/>
    </xf>
    <xf numFmtId="0" fontId="28" fillId="15" borderId="129" xfId="0" applyFont="1" applyFill="1" applyBorder="1" applyAlignment="1">
      <alignment horizontal="right" vertical="center" wrapText="1"/>
    </xf>
    <xf numFmtId="0" fontId="14" fillId="0" borderId="84" xfId="0" applyFont="1" applyBorder="1" applyAlignment="1">
      <alignment horizontal="right" vertical="center"/>
    </xf>
    <xf numFmtId="0" fontId="41" fillId="15" borderId="0" xfId="0" applyFont="1" applyFill="1" applyAlignment="1">
      <alignment horizontal="center" vertical="center" wrapText="1"/>
    </xf>
    <xf numFmtId="0" fontId="3" fillId="0" borderId="56" xfId="0" applyFont="1" applyBorder="1" applyAlignment="1">
      <alignment horizontal="center" vertical="center" wrapText="1"/>
    </xf>
    <xf numFmtId="0" fontId="4" fillId="0" borderId="113" xfId="0" applyFont="1" applyBorder="1" applyAlignment="1">
      <alignment horizontal="center" vertical="center"/>
    </xf>
    <xf numFmtId="183" fontId="3" fillId="0" borderId="0" xfId="0" applyNumberFormat="1" applyFont="1" applyAlignment="1">
      <alignment horizontal="right" vertical="center"/>
    </xf>
    <xf numFmtId="0" fontId="4" fillId="0" borderId="56" xfId="0" applyFont="1" applyBorder="1" applyAlignment="1">
      <alignment horizontal="center" vertical="center"/>
    </xf>
    <xf numFmtId="0" fontId="4" fillId="0" borderId="69" xfId="0" applyFont="1" applyBorder="1" applyAlignment="1">
      <alignment horizontal="center" vertical="center"/>
    </xf>
    <xf numFmtId="41" fontId="39" fillId="0" borderId="56" xfId="1" applyFont="1" applyBorder="1" applyAlignment="1">
      <alignment horizontal="center" vertical="center"/>
    </xf>
    <xf numFmtId="41" fontId="39" fillId="0" borderId="69" xfId="1" applyFont="1" applyBorder="1" applyAlignment="1">
      <alignment horizontal="center" vertical="center"/>
    </xf>
    <xf numFmtId="41" fontId="4" fillId="0" borderId="56" xfId="1" applyFont="1" applyBorder="1" applyAlignment="1">
      <alignment horizontal="center" vertical="center"/>
    </xf>
    <xf numFmtId="41" fontId="4" fillId="0" borderId="113" xfId="1" applyFont="1" applyBorder="1" applyAlignment="1">
      <alignment horizontal="center" vertical="center"/>
    </xf>
    <xf numFmtId="41" fontId="4" fillId="0" borderId="69" xfId="1" applyFont="1" applyBorder="1" applyAlignment="1">
      <alignment horizontal="center" vertical="center"/>
    </xf>
    <xf numFmtId="41" fontId="39" fillId="0" borderId="113" xfId="1" applyFont="1" applyBorder="1" applyAlignment="1">
      <alignment horizontal="center" vertical="center"/>
    </xf>
    <xf numFmtId="0" fontId="4" fillId="0" borderId="64" xfId="0" applyFont="1" applyBorder="1" applyAlignment="1">
      <alignment horizontal="center" vertical="center"/>
    </xf>
    <xf numFmtId="41" fontId="37" fillId="0" borderId="69" xfId="0" applyNumberFormat="1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28" fillId="16" borderId="23" xfId="0" applyFont="1" applyFill="1" applyBorder="1" applyAlignment="1">
      <alignment horizontal="center" vertical="center" wrapText="1"/>
    </xf>
    <xf numFmtId="0" fontId="28" fillId="16" borderId="106" xfId="0" applyFont="1" applyFill="1" applyBorder="1" applyAlignment="1">
      <alignment horizontal="center" vertical="center" wrapText="1"/>
    </xf>
    <xf numFmtId="0" fontId="28" fillId="16" borderId="35" xfId="0" applyFont="1" applyFill="1" applyBorder="1" applyAlignment="1">
      <alignment horizontal="center" vertical="center" wrapText="1"/>
    </xf>
    <xf numFmtId="0" fontId="28" fillId="16" borderId="86" xfId="0" applyFont="1" applyFill="1" applyBorder="1" applyAlignment="1">
      <alignment horizontal="center" vertical="center" wrapText="1"/>
    </xf>
    <xf numFmtId="0" fontId="28" fillId="16" borderId="19" xfId="0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 vertical="center"/>
    </xf>
    <xf numFmtId="0" fontId="31" fillId="0" borderId="113" xfId="0" applyFont="1" applyBorder="1" applyAlignment="1">
      <alignment horizontal="center" vertical="center"/>
    </xf>
    <xf numFmtId="0" fontId="31" fillId="0" borderId="6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87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6" fillId="12" borderId="124" xfId="0" applyFont="1" applyFill="1" applyBorder="1" applyAlignment="1">
      <alignment horizontal="center" vertical="center"/>
    </xf>
    <xf numFmtId="0" fontId="16" fillId="12" borderId="125" xfId="0" applyFont="1" applyFill="1" applyBorder="1" applyAlignment="1">
      <alignment horizontal="center" vertical="center"/>
    </xf>
    <xf numFmtId="0" fontId="16" fillId="13" borderId="124" xfId="0" applyFont="1" applyFill="1" applyBorder="1" applyAlignment="1">
      <alignment horizontal="center" vertical="center"/>
    </xf>
    <xf numFmtId="0" fontId="16" fillId="13" borderId="125" xfId="0" applyFont="1" applyFill="1" applyBorder="1" applyAlignment="1">
      <alignment horizontal="center" vertical="center"/>
    </xf>
    <xf numFmtId="0" fontId="16" fillId="8" borderId="102" xfId="0" applyFont="1" applyFill="1" applyBorder="1" applyAlignment="1">
      <alignment horizontal="center" vertical="center"/>
    </xf>
    <xf numFmtId="0" fontId="16" fillId="8" borderId="98" xfId="0" applyFont="1" applyFill="1" applyBorder="1" applyAlignment="1">
      <alignment horizontal="center" vertical="center"/>
    </xf>
    <xf numFmtId="0" fontId="0" fillId="0" borderId="99" xfId="0" applyBorder="1" applyAlignment="1">
      <alignment horizontal="right" vertical="center"/>
    </xf>
    <xf numFmtId="0" fontId="0" fillId="0" borderId="100" xfId="0" applyBorder="1" applyAlignment="1">
      <alignment horizontal="right" vertical="center"/>
    </xf>
    <xf numFmtId="0" fontId="0" fillId="0" borderId="101" xfId="0" applyBorder="1" applyAlignment="1">
      <alignment horizontal="right" vertical="center"/>
    </xf>
    <xf numFmtId="180" fontId="15" fillId="7" borderId="139" xfId="1" applyNumberFormat="1" applyFont="1" applyFill="1" applyBorder="1">
      <alignment vertical="center"/>
    </xf>
  </cellXfs>
  <cellStyles count="4">
    <cellStyle name="강조색6" xfId="2" builtinId="49"/>
    <cellStyle name="백분율" xfId="3" builtinId="5"/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EEEFD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진명지" id="{B7A43D5D-4091-4627-8B7C-9CB6FDFF3D56}" userId="S::mj@gscf.or.kr::5a5eec54-bac9-426a-b187-331dfa087dbf" providerId="AD"/>
  <person displayName="강명희" id="{F8FE0486-FC5F-4CFF-9B8D-524A292CF2BD}" userId="S::mingxi@gscf.or.kr::dea14cf3-1617-4b29-a3af-a060de557784" providerId="AD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4" dT="2025-12-27T05:36:18.53" personId="{B7A43D5D-4091-4627-8B7C-9CB6FDFF3D56}" id="{357923EE-2AF2-4D40-B3AD-B0B2C1049E74}">
    <text xml:space="preserve">차액 서식 확인 필요 
a-b인지 b-a인지
</text>
  </threadedComment>
  <threadedComment ref="J15" dT="2025-10-22T07:29:43.04" personId="{F8FE0486-FC5F-4CFF-9B8D-524A292CF2BD}" id="{82B36CBC-6F00-424F-B2EF-FA9E836CB29B}">
    <text>10.22 전시패키지 10만원 마이너스 반영 수정</text>
  </threadedComment>
  <threadedComment ref="G19" dT="2025-09-24T01:07:22.24" personId="{F8FE0486-FC5F-4CFF-9B8D-524A292CF2BD}" id="{86D0CDEB-E45D-4828-B2F9-B7489FA36251}">
    <text>정산완료전 추정금액</text>
  </threadedComment>
  <threadedComment ref="F32" dT="2025-09-24T00:33:37.72" personId="{B7A43D5D-4091-4627-8B7C-9CB6FDFF3D56}" id="{E94A4D97-A934-47B0-9410-3BEC420AB3C3}">
    <text xml:space="preserve">예경사업 총 부대비, 예비비, 회계검증 수수료 포함 </text>
  </threadedComment>
  <threadedComment ref="Z36" dT="2025-10-22T07:30:25.62" personId="{F8FE0486-FC5F-4CFF-9B8D-524A292CF2BD}" id="{A6F191A7-7464-495B-AA95-7C4678C87A0E}">
    <text>10.22 작성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4" dT="2025-12-27T05:36:18.53" personId="{B7A43D5D-4091-4627-8B7C-9CB6FDFF3D56}" id="{F3CAA57A-89DA-4ADB-97A1-9644C1678945}">
    <text xml:space="preserve">차액 서식 확인 필요 
a-b인지 b-a인지
</text>
  </threadedComment>
  <threadedComment ref="I15" dT="2026-03-19T08:47:35.21" personId="{F8FE0486-FC5F-4CFF-9B8D-524A292CF2BD}" id="{673BF304-AD50-4DAB-B7B6-79199836A1E9}">
    <text>브런치패키지(408000원) 판매수수료로 정산</text>
  </threadedComment>
  <threadedComment ref="G19" dT="2025-09-24T01:07:22.24" personId="{F8FE0486-FC5F-4CFF-9B8D-524A292CF2BD}" id="{063B3E54-27EE-45A6-8085-96BF532F21D0}">
    <text>정산완료전 추정금액</text>
  </threadedComment>
  <threadedComment ref="F32" dT="2025-09-24T00:33:37.72" personId="{B7A43D5D-4091-4627-8B7C-9CB6FDFF3D56}" id="{3BEFCD00-3BE6-493C-A980-60676502FC4F}">
    <text xml:space="preserve">예경사업 총 부대비, 예비비, 회계검증 수수료 포함 </text>
  </threadedComment>
  <threadedComment ref="Y41" dT="2026-03-19T08:43:22.26" personId="{F8FE0486-FC5F-4CFF-9B8D-524A292CF2BD}" id="{69B1ECCD-391E-4F1B-8D79-88DDADB07C25}">
    <text>브런치패키지는 판매수수료로 정산됨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AA43"/>
  <sheetViews>
    <sheetView workbookViewId="0">
      <selection activeCell="Z36" sqref="Z36:Z39"/>
    </sheetView>
  </sheetViews>
  <sheetFormatPr defaultRowHeight="17.399999999999999"/>
  <cols>
    <col min="1" max="1" width="2.3984375" customWidth="1"/>
    <col min="2" max="2" width="4.3984375" customWidth="1"/>
    <col min="3" max="3" width="35.5" style="1" customWidth="1"/>
    <col min="4" max="4" width="11.59765625" style="1" customWidth="1"/>
    <col min="5" max="5" width="5.8984375" style="1" bestFit="1" customWidth="1"/>
    <col min="6" max="7" width="12.09765625" style="2" customWidth="1"/>
    <col min="8" max="8" width="9" style="2" bestFit="1" customWidth="1"/>
    <col min="9" max="9" width="10.8984375" style="2" bestFit="1" customWidth="1"/>
    <col min="10" max="10" width="11.3984375" style="2" customWidth="1"/>
    <col min="11" max="11" width="9.5" style="2" bestFit="1" customWidth="1"/>
    <col min="12" max="12" width="10.59765625" style="2" customWidth="1"/>
    <col min="13" max="13" width="9.3984375" bestFit="1" customWidth="1"/>
    <col min="14" max="14" width="9.09765625" bestFit="1" customWidth="1"/>
    <col min="15" max="15" width="9.3984375" bestFit="1" customWidth="1"/>
    <col min="16" max="16" width="9.8984375" bestFit="1" customWidth="1"/>
    <col min="17" max="17" width="8" customWidth="1"/>
    <col min="18" max="18" width="0" hidden="1" customWidth="1"/>
    <col min="19" max="19" width="10.5" style="5" hidden="1" customWidth="1"/>
    <col min="20" max="20" width="10.8984375" hidden="1" customWidth="1"/>
    <col min="21" max="22" width="0" hidden="1" customWidth="1"/>
    <col min="23" max="23" width="6.19921875" customWidth="1"/>
    <col min="24" max="24" width="10.09765625" customWidth="1"/>
    <col min="25" max="25" width="12.19921875" bestFit="1" customWidth="1"/>
    <col min="26" max="26" width="10.59765625" customWidth="1"/>
    <col min="27" max="27" width="11.09765625" bestFit="1" customWidth="1"/>
  </cols>
  <sheetData>
    <row r="2" spans="2:25" ht="25.2">
      <c r="C2" s="451" t="s">
        <v>0</v>
      </c>
      <c r="D2" s="451"/>
      <c r="E2" s="451"/>
      <c r="F2" s="451"/>
      <c r="G2" s="451"/>
      <c r="H2" s="451"/>
      <c r="I2" s="451"/>
      <c r="J2" s="452"/>
      <c r="K2" s="452"/>
      <c r="L2" s="452"/>
      <c r="M2" s="452"/>
      <c r="N2" s="452"/>
      <c r="O2" s="452"/>
      <c r="P2" s="452"/>
    </row>
    <row r="3" spans="2:25" ht="17.25" customHeight="1" thickBot="1">
      <c r="D3" s="13"/>
      <c r="E3" s="13"/>
      <c r="F3"/>
      <c r="G3"/>
      <c r="H3"/>
      <c r="I3"/>
      <c r="J3"/>
      <c r="K3"/>
      <c r="L3"/>
      <c r="Q3" s="28" t="s">
        <v>1</v>
      </c>
    </row>
    <row r="4" spans="2:25">
      <c r="B4" s="477" t="s">
        <v>2</v>
      </c>
      <c r="C4" s="478"/>
      <c r="D4" s="453" t="s">
        <v>3</v>
      </c>
      <c r="E4" s="455" t="s">
        <v>4</v>
      </c>
      <c r="F4" s="457" t="s">
        <v>5</v>
      </c>
      <c r="G4" s="459" t="s">
        <v>6</v>
      </c>
      <c r="H4" s="460"/>
      <c r="I4" s="461" t="s">
        <v>7</v>
      </c>
      <c r="J4" s="463" t="s">
        <v>8</v>
      </c>
      <c r="K4" s="460"/>
      <c r="L4" s="461" t="s">
        <v>9</v>
      </c>
      <c r="M4" s="463" t="s">
        <v>10</v>
      </c>
      <c r="N4" s="464"/>
      <c r="O4" s="465"/>
      <c r="P4" s="469" t="s">
        <v>11</v>
      </c>
      <c r="Q4" s="469" t="s">
        <v>11</v>
      </c>
    </row>
    <row r="5" spans="2:25" ht="17.25" customHeight="1" thickBot="1">
      <c r="B5" s="479"/>
      <c r="C5" s="480"/>
      <c r="D5" s="454"/>
      <c r="E5" s="456"/>
      <c r="F5" s="458"/>
      <c r="G5" s="29" t="s">
        <v>12</v>
      </c>
      <c r="H5" s="30" t="s">
        <v>13</v>
      </c>
      <c r="I5" s="462"/>
      <c r="J5" s="31" t="s">
        <v>14</v>
      </c>
      <c r="K5" s="30" t="s">
        <v>13</v>
      </c>
      <c r="L5" s="462"/>
      <c r="M5" s="32" t="s">
        <v>15</v>
      </c>
      <c r="N5" s="29" t="s">
        <v>16</v>
      </c>
      <c r="O5" s="33" t="s">
        <v>17</v>
      </c>
      <c r="P5" s="470"/>
      <c r="Q5" s="470"/>
      <c r="Y5" s="217"/>
    </row>
    <row r="6" spans="2:25">
      <c r="B6" s="471" t="s">
        <v>18</v>
      </c>
      <c r="C6" s="34" t="s">
        <v>19</v>
      </c>
      <c r="D6" s="35" t="s">
        <v>20</v>
      </c>
      <c r="E6" s="36">
        <v>1</v>
      </c>
      <c r="F6" s="37">
        <v>45500000</v>
      </c>
      <c r="G6" s="38">
        <v>45208740</v>
      </c>
      <c r="H6" s="39">
        <f>SUM(G6/G23*100)</f>
        <v>3.1924382268159612</v>
      </c>
      <c r="I6" s="40">
        <v>743474</v>
      </c>
      <c r="J6" s="37">
        <v>23108000</v>
      </c>
      <c r="K6" s="39">
        <f>SUM(J6/J23*100)</f>
        <v>1.832591583536384</v>
      </c>
      <c r="L6" s="40">
        <f t="shared" ref="L6:L22" si="0">SUM(J6-G6)</f>
        <v>-22100740</v>
      </c>
      <c r="M6" s="41">
        <v>464</v>
      </c>
      <c r="N6" s="42">
        <v>40</v>
      </c>
      <c r="O6" s="43">
        <f>SUM(M6:N6)</f>
        <v>504</v>
      </c>
      <c r="P6" s="44">
        <f>J6/(G6+I6)*100</f>
        <v>50.287022079066745</v>
      </c>
      <c r="Q6" s="474">
        <f>Q25</f>
        <v>43.541049164449603</v>
      </c>
      <c r="R6" s="3" t="s">
        <v>21</v>
      </c>
      <c r="S6" s="4">
        <v>8526000</v>
      </c>
      <c r="T6" s="3">
        <v>546</v>
      </c>
      <c r="U6" s="3">
        <v>26</v>
      </c>
      <c r="V6" s="3">
        <f>SUM(T6:U6)</f>
        <v>572</v>
      </c>
      <c r="Y6" s="217"/>
    </row>
    <row r="7" spans="2:25">
      <c r="B7" s="472"/>
      <c r="C7" s="75" t="s">
        <v>22</v>
      </c>
      <c r="D7" s="45" t="s">
        <v>23</v>
      </c>
      <c r="E7" s="46">
        <v>1</v>
      </c>
      <c r="F7" s="47">
        <v>40500000</v>
      </c>
      <c r="G7" s="48">
        <v>40223740</v>
      </c>
      <c r="H7" s="49">
        <f>SUM(G7/G23*100)</f>
        <v>2.8404199099887824</v>
      </c>
      <c r="I7" s="50">
        <v>1123227</v>
      </c>
      <c r="J7" s="47">
        <v>31545000</v>
      </c>
      <c r="K7" s="49">
        <f>SUM(J7/J23*100)</f>
        <v>2.5016921197271604</v>
      </c>
      <c r="L7" s="50">
        <f t="shared" si="0"/>
        <v>-8678740</v>
      </c>
      <c r="M7" s="51">
        <v>811</v>
      </c>
      <c r="N7" s="52">
        <v>10</v>
      </c>
      <c r="O7" s="53">
        <f t="shared" ref="O7:O22" si="1">SUM(M7:N7)</f>
        <v>821</v>
      </c>
      <c r="P7" s="54">
        <f t="shared" ref="P7:P22" si="2">J7/(G7+I7)*100</f>
        <v>76.293383260735908</v>
      </c>
      <c r="Q7" s="475"/>
      <c r="R7" s="3" t="s">
        <v>24</v>
      </c>
      <c r="S7" s="4">
        <v>10045500</v>
      </c>
      <c r="T7" s="3">
        <v>691</v>
      </c>
      <c r="U7" s="3">
        <v>32</v>
      </c>
      <c r="V7" s="3">
        <f t="shared" ref="V7:V11" si="3">SUM(T7:U7)</f>
        <v>723</v>
      </c>
      <c r="Y7" s="218"/>
    </row>
    <row r="8" spans="2:25">
      <c r="B8" s="472"/>
      <c r="C8" s="75" t="s">
        <v>25</v>
      </c>
      <c r="D8" s="45" t="s">
        <v>26</v>
      </c>
      <c r="E8" s="46">
        <v>2</v>
      </c>
      <c r="F8" s="212">
        <v>276000000</v>
      </c>
      <c r="G8" s="48">
        <v>275842232</v>
      </c>
      <c r="H8" s="49">
        <f>SUM(G8/G23*100)</f>
        <v>19.478739863288315</v>
      </c>
      <c r="I8" s="50">
        <v>1470249</v>
      </c>
      <c r="J8" s="47">
        <v>42609000</v>
      </c>
      <c r="K8" s="49">
        <f>SUM(J8/J23*100)</f>
        <v>3.3791282145967534</v>
      </c>
      <c r="L8" s="50">
        <f>SUM(J8-G8)</f>
        <v>-233233232</v>
      </c>
      <c r="M8" s="51">
        <v>546</v>
      </c>
      <c r="N8" s="52">
        <v>211</v>
      </c>
      <c r="O8" s="53">
        <f>SUM(M8:N8)</f>
        <v>757</v>
      </c>
      <c r="P8" s="54">
        <f>J8/(G8+I8)*100</f>
        <v>15.364977388089503</v>
      </c>
      <c r="Q8" s="475"/>
      <c r="R8" s="3"/>
      <c r="S8" s="4"/>
      <c r="T8" s="3"/>
      <c r="U8" s="3"/>
      <c r="V8" s="3"/>
      <c r="Y8" s="219"/>
    </row>
    <row r="9" spans="2:25">
      <c r="B9" s="472"/>
      <c r="C9" s="75" t="s">
        <v>27</v>
      </c>
      <c r="D9" s="45" t="s">
        <v>28</v>
      </c>
      <c r="E9" s="46">
        <v>4</v>
      </c>
      <c r="F9" s="211">
        <v>26480000</v>
      </c>
      <c r="G9" s="58">
        <f>SUM(G30:G32)</f>
        <v>20853000</v>
      </c>
      <c r="H9" s="59">
        <f>SUM(G9/G23*100)</f>
        <v>1.4725452278429623</v>
      </c>
      <c r="I9" s="88">
        <f>SUM(I30:I32)</f>
        <v>2479598</v>
      </c>
      <c r="J9" s="57">
        <f>SUM(J30:J32)</f>
        <v>72517000</v>
      </c>
      <c r="K9" s="59">
        <f>SUM(J9/J23*100)</f>
        <v>5.7509972244810434</v>
      </c>
      <c r="L9" s="88">
        <f>SUM(J9-G9)</f>
        <v>51664000</v>
      </c>
      <c r="M9" s="61">
        <f>SUM(M30:M32)</f>
        <v>2861</v>
      </c>
      <c r="N9" s="62">
        <f>SUM(N30:N32)</f>
        <v>101</v>
      </c>
      <c r="O9" s="63">
        <f t="shared" si="1"/>
        <v>2962</v>
      </c>
      <c r="P9" s="77">
        <f t="shared" si="2"/>
        <v>310.79693740062726</v>
      </c>
      <c r="Q9" s="475"/>
      <c r="R9" s="3" t="s">
        <v>29</v>
      </c>
      <c r="S9" s="4">
        <v>9974000</v>
      </c>
      <c r="T9" s="3">
        <v>718</v>
      </c>
      <c r="U9" s="3">
        <v>10</v>
      </c>
      <c r="V9" s="3">
        <f t="shared" si="3"/>
        <v>728</v>
      </c>
      <c r="Y9" s="218"/>
    </row>
    <row r="10" spans="2:25">
      <c r="B10" s="472"/>
      <c r="C10" s="98" t="s">
        <v>30</v>
      </c>
      <c r="D10" s="45" t="s">
        <v>31</v>
      </c>
      <c r="E10" s="46">
        <v>1</v>
      </c>
      <c r="F10" s="213">
        <v>118020000</v>
      </c>
      <c r="G10" s="58">
        <v>117953320</v>
      </c>
      <c r="H10" s="49">
        <f>SUM(G10/G23*100)</f>
        <v>8.3293338356223963</v>
      </c>
      <c r="I10" s="88">
        <v>0</v>
      </c>
      <c r="J10" s="57">
        <v>0</v>
      </c>
      <c r="K10" s="59">
        <f>SUM(J10/J23*100)</f>
        <v>0</v>
      </c>
      <c r="L10" s="88">
        <f>SUM(J10-G10)</f>
        <v>-117953320</v>
      </c>
      <c r="M10" s="61">
        <v>0</v>
      </c>
      <c r="N10" s="62">
        <v>900</v>
      </c>
      <c r="O10" s="63">
        <f t="shared" si="1"/>
        <v>900</v>
      </c>
      <c r="P10" s="77">
        <f>J10/(G10+I10)*100</f>
        <v>0</v>
      </c>
      <c r="Q10" s="475"/>
      <c r="R10" s="3"/>
      <c r="S10" s="4"/>
      <c r="T10" s="3"/>
      <c r="U10" s="3"/>
      <c r="V10" s="3"/>
      <c r="Y10" s="218"/>
    </row>
    <row r="11" spans="2:25">
      <c r="B11" s="472"/>
      <c r="C11" s="99" t="s">
        <v>32</v>
      </c>
      <c r="D11" s="55" t="s">
        <v>33</v>
      </c>
      <c r="E11" s="100">
        <v>1</v>
      </c>
      <c r="F11" s="212">
        <v>63000000</v>
      </c>
      <c r="G11" s="190">
        <v>61660580</v>
      </c>
      <c r="H11" s="49">
        <f>SUM(G11/G23*100)</f>
        <v>4.3541932971289121</v>
      </c>
      <c r="I11" s="50">
        <v>249194</v>
      </c>
      <c r="J11" s="47">
        <v>9073000</v>
      </c>
      <c r="K11" s="49">
        <f>SUM(J11/J23*100)</f>
        <v>0.719538836655081</v>
      </c>
      <c r="L11" s="50">
        <f>SUM(J11-G11)</f>
        <v>-52587580</v>
      </c>
      <c r="M11" s="51">
        <v>428</v>
      </c>
      <c r="N11" s="52">
        <v>30</v>
      </c>
      <c r="O11" s="53">
        <f t="shared" si="1"/>
        <v>458</v>
      </c>
      <c r="P11" s="189">
        <f>J11/(G11+I11)*100</f>
        <v>14.655198062910065</v>
      </c>
      <c r="Q11" s="475"/>
      <c r="R11" s="3" t="s">
        <v>34</v>
      </c>
      <c r="S11" s="4">
        <v>12922500</v>
      </c>
      <c r="T11" s="3">
        <v>921</v>
      </c>
      <c r="U11" s="3">
        <v>16</v>
      </c>
      <c r="V11" s="3">
        <f t="shared" si="3"/>
        <v>937</v>
      </c>
      <c r="Y11" s="219"/>
    </row>
    <row r="12" spans="2:25">
      <c r="B12" s="472"/>
      <c r="C12" s="98" t="s">
        <v>35</v>
      </c>
      <c r="D12" s="45" t="s">
        <v>36</v>
      </c>
      <c r="E12" s="101">
        <v>5</v>
      </c>
      <c r="F12" s="210">
        <v>150500000</v>
      </c>
      <c r="G12" s="190">
        <v>149504000</v>
      </c>
      <c r="H12" s="49">
        <f>SUM(G12/G23*100)</f>
        <v>10.5573011913602</v>
      </c>
      <c r="I12" s="50">
        <v>662288</v>
      </c>
      <c r="J12" s="47">
        <v>21688000</v>
      </c>
      <c r="K12" s="49">
        <f>SUM(J12/J23*100)</f>
        <v>1.7199777680343211</v>
      </c>
      <c r="L12" s="50">
        <f t="shared" si="0"/>
        <v>-127816000</v>
      </c>
      <c r="M12" s="51">
        <v>1038</v>
      </c>
      <c r="N12" s="52">
        <v>294</v>
      </c>
      <c r="O12" s="53">
        <f t="shared" si="1"/>
        <v>1332</v>
      </c>
      <c r="P12" s="189">
        <f>J12/(G12+I12)*100</f>
        <v>14.442655731091921</v>
      </c>
      <c r="Q12" s="475"/>
      <c r="R12" s="3"/>
      <c r="S12" s="4">
        <f>SUM(S6:S11)</f>
        <v>41468000</v>
      </c>
      <c r="T12" s="4">
        <f>SUM(T6:T11)</f>
        <v>2876</v>
      </c>
      <c r="U12" s="4">
        <f>SUM(U6:U11)</f>
        <v>84</v>
      </c>
      <c r="V12" s="4">
        <f>SUM(V6:V11)</f>
        <v>2960</v>
      </c>
      <c r="Y12" s="219"/>
    </row>
    <row r="13" spans="2:25" ht="17.25" customHeight="1">
      <c r="B13" s="472"/>
      <c r="C13" s="203" t="s">
        <v>37</v>
      </c>
      <c r="D13" s="204" t="s">
        <v>33</v>
      </c>
      <c r="E13" s="206" t="s">
        <v>38</v>
      </c>
      <c r="F13" s="216">
        <v>43000000</v>
      </c>
      <c r="G13" s="205">
        <v>42096540</v>
      </c>
      <c r="H13" s="49">
        <f>SUM(G13/G23*100)</f>
        <v>2.9726686369203654</v>
      </c>
      <c r="I13" s="88">
        <v>3560239</v>
      </c>
      <c r="J13" s="198">
        <v>107707500</v>
      </c>
      <c r="K13" s="202">
        <f>SUM(J13/J23*100)</f>
        <v>8.5417975585833936</v>
      </c>
      <c r="L13" s="88">
        <f>SUM(J13-G13)</f>
        <v>65610960</v>
      </c>
      <c r="M13" s="158">
        <v>3568</v>
      </c>
      <c r="N13" s="199">
        <v>155</v>
      </c>
      <c r="O13" s="200">
        <f>SUM(M13:N13)</f>
        <v>3723</v>
      </c>
      <c r="P13" s="189">
        <f>J13/(G13+I13)*100</f>
        <v>235.90691756858274</v>
      </c>
      <c r="Q13" s="475"/>
      <c r="R13" s="3" t="s">
        <v>39</v>
      </c>
      <c r="S13" s="4">
        <v>4219000</v>
      </c>
      <c r="T13" s="3">
        <v>140</v>
      </c>
      <c r="U13" s="3">
        <v>72</v>
      </c>
      <c r="V13" s="7">
        <f t="shared" ref="V13" si="4">SUM(T13:U13)</f>
        <v>212</v>
      </c>
      <c r="Y13" s="220"/>
    </row>
    <row r="14" spans="2:25" ht="18" thickBot="1">
      <c r="B14" s="473"/>
      <c r="C14" s="162" t="s">
        <v>40</v>
      </c>
      <c r="D14" s="225" t="s">
        <v>41</v>
      </c>
      <c r="E14" s="221" t="s">
        <v>42</v>
      </c>
      <c r="F14" s="277">
        <v>50500000</v>
      </c>
      <c r="G14" s="278">
        <v>44196540</v>
      </c>
      <c r="H14" s="64">
        <f>SUM(G14/G25*100)</f>
        <v>5.5416170329200778</v>
      </c>
      <c r="I14" s="279">
        <v>1635045</v>
      </c>
      <c r="J14" s="280">
        <v>44200750</v>
      </c>
      <c r="K14" s="64">
        <f>SUM(J14/J25*100)</f>
        <v>12.541060992642183</v>
      </c>
      <c r="L14" s="276">
        <f>J14-G14</f>
        <v>4210</v>
      </c>
      <c r="M14" s="207">
        <v>1408</v>
      </c>
      <c r="N14" s="208">
        <v>34</v>
      </c>
      <c r="O14" s="209">
        <f>SUM(M14:N14)</f>
        <v>1442</v>
      </c>
      <c r="P14" s="282">
        <f>J14/(G14+I14)*100</f>
        <v>96.441678811675402</v>
      </c>
      <c r="Q14" s="476"/>
      <c r="R14" s="3" t="s">
        <v>43</v>
      </c>
      <c r="S14" s="4">
        <v>9331000</v>
      </c>
      <c r="T14" s="3">
        <v>333</v>
      </c>
      <c r="U14" s="3">
        <v>346</v>
      </c>
      <c r="V14" s="7">
        <f>SUM(T14:U14)</f>
        <v>679</v>
      </c>
      <c r="Y14" s="219"/>
    </row>
    <row r="15" spans="2:25">
      <c r="B15" s="83"/>
      <c r="C15" s="76" t="s">
        <v>44</v>
      </c>
      <c r="D15" s="224" t="s">
        <v>45</v>
      </c>
      <c r="E15" s="222">
        <v>5</v>
      </c>
      <c r="F15" s="215">
        <v>44000000</v>
      </c>
      <c r="G15" s="190">
        <f>G41</f>
        <v>42406040</v>
      </c>
      <c r="H15" s="86">
        <f>SUM(G15/G23*100)</f>
        <v>2.9945241372329052</v>
      </c>
      <c r="I15" s="87">
        <f>I41</f>
        <v>1384724</v>
      </c>
      <c r="J15" s="281">
        <f>J41</f>
        <v>41680100</v>
      </c>
      <c r="K15" s="59">
        <f>SUM(J15/J23*100)</f>
        <v>3.3054613320475523</v>
      </c>
      <c r="L15" s="60">
        <f>SUM(J15-G15)</f>
        <v>-725940</v>
      </c>
      <c r="M15" s="201">
        <f>M41</f>
        <v>2500</v>
      </c>
      <c r="N15" s="85">
        <f>N41</f>
        <v>131</v>
      </c>
      <c r="O15" s="63">
        <f>SUM(M15:N15)</f>
        <v>2631</v>
      </c>
      <c r="P15" s="283">
        <f t="shared" ref="P15" si="5">J15/(G15+I15)*100</f>
        <v>95.180116062830052</v>
      </c>
      <c r="Q15" s="84"/>
      <c r="R15" s="3"/>
      <c r="S15" s="4"/>
      <c r="T15" s="3"/>
      <c r="U15" s="3"/>
      <c r="V15" s="7"/>
      <c r="Y15" s="218"/>
    </row>
    <row r="16" spans="2:25" ht="16.5" customHeight="1">
      <c r="B16" s="472" t="s">
        <v>46</v>
      </c>
      <c r="C16" s="75" t="s">
        <v>47</v>
      </c>
      <c r="D16" s="45" t="s">
        <v>31</v>
      </c>
      <c r="E16" s="223">
        <v>7</v>
      </c>
      <c r="F16" s="214">
        <v>63500000</v>
      </c>
      <c r="G16" s="48">
        <v>62586320</v>
      </c>
      <c r="H16" s="49">
        <f>SUM(G16/G23*100)</f>
        <v>4.4195648992592211</v>
      </c>
      <c r="I16" s="88">
        <v>3014220</v>
      </c>
      <c r="J16" s="47">
        <v>89778000</v>
      </c>
      <c r="K16" s="49">
        <f>SUM(J16/J23*100)</f>
        <v>7.119889526862103</v>
      </c>
      <c r="L16" s="50">
        <f t="shared" ref="L16:L17" si="6">SUM(J16-G16)</f>
        <v>27191680</v>
      </c>
      <c r="M16" s="51">
        <v>2756</v>
      </c>
      <c r="N16" s="52">
        <v>97</v>
      </c>
      <c r="O16" s="53">
        <f t="shared" ref="O16:O17" si="7">SUM(M16:N16)</f>
        <v>2853</v>
      </c>
      <c r="P16" s="54">
        <f t="shared" ref="P16:P17" si="8">J16/(G16+I16)*100</f>
        <v>136.85558076198762</v>
      </c>
      <c r="Q16" s="475">
        <f>Q26</f>
        <v>141.4169787168012</v>
      </c>
      <c r="R16" s="3"/>
      <c r="S16" s="4"/>
      <c r="T16" s="3"/>
      <c r="U16" s="3"/>
      <c r="V16" s="3"/>
      <c r="Y16" s="218"/>
    </row>
    <row r="17" spans="2:25">
      <c r="B17" s="472"/>
      <c r="C17" s="75" t="s">
        <v>48</v>
      </c>
      <c r="D17" s="45" t="s">
        <v>49</v>
      </c>
      <c r="E17" s="46">
        <v>4</v>
      </c>
      <c r="F17" s="212">
        <v>176000000</v>
      </c>
      <c r="G17" s="48">
        <v>175988780</v>
      </c>
      <c r="H17" s="49">
        <f>SUM(G17/G23*100)</f>
        <v>12.427537435520307</v>
      </c>
      <c r="I17" s="50">
        <v>9221140</v>
      </c>
      <c r="J17" s="47">
        <v>247663250</v>
      </c>
      <c r="K17" s="49">
        <f>SUM(J17/J23*100)</f>
        <v>19.641058832493826</v>
      </c>
      <c r="L17" s="50">
        <f t="shared" si="6"/>
        <v>71674470</v>
      </c>
      <c r="M17" s="51">
        <v>3636</v>
      </c>
      <c r="N17" s="52">
        <v>45</v>
      </c>
      <c r="O17" s="53">
        <f t="shared" si="7"/>
        <v>3681</v>
      </c>
      <c r="P17" s="54">
        <f t="shared" si="8"/>
        <v>133.72029424773791</v>
      </c>
      <c r="Q17" s="475"/>
      <c r="R17" s="3"/>
      <c r="S17" s="4"/>
      <c r="T17" s="3"/>
      <c r="U17" s="3"/>
      <c r="V17" s="3"/>
      <c r="Y17" s="219"/>
    </row>
    <row r="18" spans="2:25">
      <c r="B18" s="472"/>
      <c r="C18" s="104" t="s">
        <v>50</v>
      </c>
      <c r="D18" s="45" t="s">
        <v>51</v>
      </c>
      <c r="E18" s="46">
        <v>6</v>
      </c>
      <c r="F18" s="210">
        <v>6000000</v>
      </c>
      <c r="G18" s="48">
        <v>5053160</v>
      </c>
      <c r="H18" s="49">
        <f>SUM(G18/G23*100)</f>
        <v>0.35683146998163062</v>
      </c>
      <c r="I18" s="50">
        <v>5465688</v>
      </c>
      <c r="J18" s="47">
        <v>15981731</v>
      </c>
      <c r="K18" s="49">
        <f>SUM(J18/J23*100)</f>
        <v>1.2674392297447861</v>
      </c>
      <c r="L18" s="50">
        <f t="shared" si="0"/>
        <v>10928571</v>
      </c>
      <c r="M18" s="51">
        <v>2921</v>
      </c>
      <c r="N18" s="52">
        <v>79</v>
      </c>
      <c r="O18" s="53">
        <f t="shared" si="1"/>
        <v>3000</v>
      </c>
      <c r="P18" s="54">
        <f t="shared" si="2"/>
        <v>151.93423272206235</v>
      </c>
      <c r="Q18" s="475"/>
      <c r="R18" s="3"/>
      <c r="S18" s="4"/>
      <c r="T18" s="3"/>
      <c r="U18" s="3"/>
      <c r="V18" s="3"/>
      <c r="Y18" s="219"/>
    </row>
    <row r="19" spans="2:25">
      <c r="B19" s="472"/>
      <c r="C19" s="104" t="s">
        <v>52</v>
      </c>
      <c r="D19" s="45" t="s">
        <v>53</v>
      </c>
      <c r="E19" s="46" t="s">
        <v>38</v>
      </c>
      <c r="F19" s="210">
        <v>71500000</v>
      </c>
      <c r="G19" s="48">
        <v>71270940</v>
      </c>
      <c r="H19" s="49">
        <f>SUM(G19/G23*100)</f>
        <v>5.032833768804589</v>
      </c>
      <c r="I19" s="50">
        <v>3927586</v>
      </c>
      <c r="J19" s="47">
        <v>113412200</v>
      </c>
      <c r="K19" s="49">
        <f>SUM(J19/J23*100)</f>
        <v>8.9942116665373497</v>
      </c>
      <c r="L19" s="50">
        <f>SUM(J19-G19)</f>
        <v>42141260</v>
      </c>
      <c r="M19" s="51">
        <v>3042</v>
      </c>
      <c r="N19" s="52">
        <v>136</v>
      </c>
      <c r="O19" s="53">
        <f>SUM(M19:N19)</f>
        <v>3178</v>
      </c>
      <c r="P19" s="54">
        <f>J19/(G19+I19)*100</f>
        <v>150.81705191934213</v>
      </c>
      <c r="Q19" s="475"/>
      <c r="R19" s="3"/>
      <c r="S19" s="4"/>
      <c r="T19" s="3"/>
      <c r="U19" s="3"/>
      <c r="V19" s="3"/>
      <c r="Y19" s="219"/>
    </row>
    <row r="20" spans="2:25">
      <c r="B20" s="472"/>
      <c r="C20" s="76" t="s">
        <v>54</v>
      </c>
      <c r="D20" s="55" t="s">
        <v>55</v>
      </c>
      <c r="E20" s="56">
        <v>4</v>
      </c>
      <c r="F20" s="211">
        <v>10100000</v>
      </c>
      <c r="G20" s="58">
        <v>10082720</v>
      </c>
      <c r="H20" s="49">
        <f>SUM(G20/G23*100)</f>
        <v>0.71199641392973634</v>
      </c>
      <c r="I20" s="60">
        <v>2212220</v>
      </c>
      <c r="J20" s="57">
        <v>52751000</v>
      </c>
      <c r="K20" s="49">
        <f>SUM(J20/J23*100)</f>
        <v>4.1834446348938803</v>
      </c>
      <c r="L20" s="60">
        <f>SUM(J20-G20)</f>
        <v>42668280</v>
      </c>
      <c r="M20" s="61">
        <v>3808</v>
      </c>
      <c r="N20" s="62">
        <v>76</v>
      </c>
      <c r="O20" s="63">
        <f>SUM(M20:N20)</f>
        <v>3884</v>
      </c>
      <c r="P20" s="77">
        <f t="shared" ref="P20" si="9">J20/(G20+I20)*100</f>
        <v>429.04642072267131</v>
      </c>
      <c r="Q20" s="475"/>
      <c r="R20" s="3"/>
      <c r="S20" s="4"/>
      <c r="T20" s="3"/>
      <c r="U20" s="3"/>
      <c r="V20" s="3"/>
      <c r="Y20" s="219"/>
    </row>
    <row r="21" spans="2:25">
      <c r="B21" s="472"/>
      <c r="C21" s="75" t="s">
        <v>56</v>
      </c>
      <c r="D21" s="45" t="s">
        <v>57</v>
      </c>
      <c r="E21" s="46">
        <v>4</v>
      </c>
      <c r="F21" s="210">
        <v>197900000</v>
      </c>
      <c r="G21" s="48">
        <v>196748440</v>
      </c>
      <c r="H21" s="49">
        <f>SUM(G21/G23*100)</f>
        <v>13.893491411669659</v>
      </c>
      <c r="I21" s="88">
        <v>10107530</v>
      </c>
      <c r="J21" s="47">
        <v>242499500</v>
      </c>
      <c r="K21" s="49">
        <f>SUM(J21/J23*100)</f>
        <v>19.231545036860883</v>
      </c>
      <c r="L21" s="50">
        <f t="shared" si="0"/>
        <v>45751060</v>
      </c>
      <c r="M21" s="51">
        <v>3280</v>
      </c>
      <c r="N21" s="52">
        <v>30</v>
      </c>
      <c r="O21" s="53">
        <f t="shared" si="1"/>
        <v>3310</v>
      </c>
      <c r="P21" s="54">
        <f t="shared" si="2"/>
        <v>117.23108595802189</v>
      </c>
      <c r="Q21" s="475"/>
      <c r="R21" s="3" t="s">
        <v>58</v>
      </c>
      <c r="S21" s="4">
        <v>5000000</v>
      </c>
      <c r="T21" s="3">
        <v>548</v>
      </c>
      <c r="U21" s="3">
        <v>9</v>
      </c>
      <c r="V21" s="7">
        <f>SUM(T21:U21)</f>
        <v>557</v>
      </c>
      <c r="Y21" s="219"/>
    </row>
    <row r="22" spans="2:25" ht="18" thickBot="1">
      <c r="B22" s="472"/>
      <c r="C22" s="75" t="s">
        <v>59</v>
      </c>
      <c r="D22" s="45" t="s">
        <v>41</v>
      </c>
      <c r="E22" s="46" t="s">
        <v>60</v>
      </c>
      <c r="F22" s="210">
        <v>55500000</v>
      </c>
      <c r="G22" s="48">
        <v>54444400</v>
      </c>
      <c r="H22" s="49">
        <f>SUM(G22/G23*100)</f>
        <v>3.8446190669339368</v>
      </c>
      <c r="I22" s="50">
        <v>2828843</v>
      </c>
      <c r="J22" s="47">
        <v>104732500</v>
      </c>
      <c r="K22" s="49">
        <f>SUM(J22/J23*100)</f>
        <v>8.3058636845561846</v>
      </c>
      <c r="L22" s="50">
        <f t="shared" si="0"/>
        <v>50288100</v>
      </c>
      <c r="M22" s="51">
        <v>2732</v>
      </c>
      <c r="N22" s="52">
        <v>68</v>
      </c>
      <c r="O22" s="53">
        <f t="shared" si="1"/>
        <v>2800</v>
      </c>
      <c r="P22" s="54">
        <f t="shared" si="2"/>
        <v>182.8646231888772</v>
      </c>
      <c r="Q22" s="475"/>
      <c r="R22" s="3"/>
      <c r="S22" s="4"/>
      <c r="T22" s="3"/>
      <c r="U22" s="3"/>
      <c r="V22" s="7"/>
      <c r="Y22" s="157"/>
    </row>
    <row r="23" spans="2:25" ht="18" thickBot="1">
      <c r="B23" s="466" t="s">
        <v>61</v>
      </c>
      <c r="C23" s="467"/>
      <c r="D23" s="468"/>
      <c r="E23" s="65">
        <f t="shared" ref="E23:O23" si="10">SUM(E6:E22)</f>
        <v>45</v>
      </c>
      <c r="F23" s="66">
        <f>SUM(F6:F22)</f>
        <v>1438000000</v>
      </c>
      <c r="G23" s="78">
        <f t="shared" si="10"/>
        <v>1416119492</v>
      </c>
      <c r="H23" s="67">
        <f t="shared" si="10"/>
        <v>102.42065582521995</v>
      </c>
      <c r="I23" s="68">
        <f t="shared" si="10"/>
        <v>50085265</v>
      </c>
      <c r="J23" s="66">
        <f t="shared" si="10"/>
        <v>1260946531</v>
      </c>
      <c r="K23" s="67">
        <f t="shared" si="10"/>
        <v>109.03569824225288</v>
      </c>
      <c r="L23" s="68">
        <f t="shared" si="10"/>
        <v>-155172961</v>
      </c>
      <c r="M23" s="69">
        <f t="shared" si="10"/>
        <v>35799</v>
      </c>
      <c r="N23" s="70">
        <f t="shared" si="10"/>
        <v>2437</v>
      </c>
      <c r="O23" s="71">
        <f t="shared" si="10"/>
        <v>38236</v>
      </c>
      <c r="P23" s="72">
        <f>J23/(G23+I23)*100</f>
        <v>86.00071204106726</v>
      </c>
      <c r="Q23" s="73">
        <f>J23/(G23+I23)*100</f>
        <v>86.00071204106726</v>
      </c>
      <c r="R23" s="3"/>
      <c r="S23" s="4"/>
      <c r="T23" s="3"/>
      <c r="U23" s="3"/>
      <c r="V23" s="3"/>
      <c r="Y23" s="156"/>
    </row>
    <row r="25" spans="2:25">
      <c r="G25" s="74">
        <f>SUM(G6:G14)</f>
        <v>797538692</v>
      </c>
      <c r="H25" s="74"/>
      <c r="I25" s="74">
        <f>SUM(I6:I14)</f>
        <v>11923314</v>
      </c>
      <c r="J25" s="74">
        <f>SUM(J6:J14)</f>
        <v>352448250</v>
      </c>
      <c r="Q25">
        <f>(J25/(G25+I25))*100</f>
        <v>43.541049164449603</v>
      </c>
    </row>
    <row r="26" spans="2:25">
      <c r="G26" s="74">
        <f>SUM(G16:G22)</f>
        <v>576174760</v>
      </c>
      <c r="H26" s="74"/>
      <c r="I26" s="74">
        <f>SUM(I16:I22)</f>
        <v>36777227</v>
      </c>
      <c r="J26" s="74">
        <f>SUM(J16:J22)</f>
        <v>866818181</v>
      </c>
      <c r="Q26">
        <f>(J26/(G26+I26))*100</f>
        <v>141.4169787168012</v>
      </c>
    </row>
    <row r="27" spans="2:25" ht="18" thickBot="1">
      <c r="H27" s="14"/>
      <c r="I27" s="6"/>
    </row>
    <row r="28" spans="2:25" ht="16.5" customHeight="1" thickBot="1">
      <c r="B28" s="481" t="s">
        <v>2</v>
      </c>
      <c r="C28" s="481"/>
      <c r="D28" s="481" t="s">
        <v>3</v>
      </c>
      <c r="E28" s="481" t="s">
        <v>4</v>
      </c>
      <c r="F28" s="481" t="s">
        <v>5</v>
      </c>
      <c r="G28" s="481" t="s">
        <v>6</v>
      </c>
      <c r="H28" s="481"/>
      <c r="I28" s="486" t="s">
        <v>7</v>
      </c>
      <c r="J28" s="481" t="s">
        <v>8</v>
      </c>
      <c r="K28" s="481"/>
      <c r="L28" s="486" t="s">
        <v>9</v>
      </c>
      <c r="M28" s="481" t="s">
        <v>10</v>
      </c>
      <c r="N28" s="481"/>
      <c r="O28" s="481"/>
      <c r="P28" s="482" t="s">
        <v>11</v>
      </c>
      <c r="Q28" s="484" t="s">
        <v>11</v>
      </c>
    </row>
    <row r="29" spans="2:25" ht="18" thickBot="1">
      <c r="B29" s="481"/>
      <c r="C29" s="481"/>
      <c r="D29" s="481"/>
      <c r="E29" s="481"/>
      <c r="F29" s="481"/>
      <c r="G29" s="94" t="s">
        <v>12</v>
      </c>
      <c r="H29" s="161" t="s">
        <v>13</v>
      </c>
      <c r="I29" s="486"/>
      <c r="J29" s="95" t="s">
        <v>14</v>
      </c>
      <c r="K29" s="95" t="s">
        <v>13</v>
      </c>
      <c r="L29" s="486"/>
      <c r="M29" s="94" t="s">
        <v>15</v>
      </c>
      <c r="N29" s="94" t="s">
        <v>16</v>
      </c>
      <c r="O29" s="94" t="s">
        <v>17</v>
      </c>
      <c r="P29" s="483"/>
      <c r="Q29" s="485"/>
    </row>
    <row r="30" spans="2:25" ht="18" thickBot="1">
      <c r="B30" s="96"/>
      <c r="C30" s="97" t="s">
        <v>62</v>
      </c>
      <c r="D30" s="89" t="s">
        <v>63</v>
      </c>
      <c r="E30" s="90">
        <v>1</v>
      </c>
      <c r="F30" s="91">
        <v>4150000</v>
      </c>
      <c r="G30" s="159">
        <v>4150000</v>
      </c>
      <c r="H30" s="92">
        <f>SUM(G30/F30*100)</f>
        <v>100</v>
      </c>
      <c r="I30" s="160">
        <v>625790</v>
      </c>
      <c r="J30" s="91">
        <v>15038000</v>
      </c>
      <c r="K30" s="92" t="e">
        <f>SUM(J30/J45*100)</f>
        <v>#DIV/0!</v>
      </c>
      <c r="L30" s="91">
        <f>SUM(J30-G30)</f>
        <v>10888000</v>
      </c>
      <c r="M30" s="93">
        <v>638</v>
      </c>
      <c r="N30" s="93">
        <v>16</v>
      </c>
      <c r="O30" s="93">
        <f>SUM(M30:N30)</f>
        <v>654</v>
      </c>
      <c r="P30" s="102">
        <f>J30/(G30+I30)*100</f>
        <v>314.87984186909392</v>
      </c>
      <c r="Q30" s="487">
        <f>AVERAGE(P30:P32)</f>
        <v>290.10665373631508</v>
      </c>
    </row>
    <row r="31" spans="2:25" ht="18" thickBot="1">
      <c r="B31" s="96"/>
      <c r="C31" s="97" t="s">
        <v>64</v>
      </c>
      <c r="D31" s="89" t="s">
        <v>65</v>
      </c>
      <c r="E31" s="90">
        <v>2</v>
      </c>
      <c r="F31" s="91">
        <v>13700000</v>
      </c>
      <c r="G31" s="159">
        <v>13700000</v>
      </c>
      <c r="H31" s="92">
        <f>SUM(G31/F31*100)</f>
        <v>100</v>
      </c>
      <c r="I31" s="160">
        <v>1636437</v>
      </c>
      <c r="J31" s="91">
        <v>50115000</v>
      </c>
      <c r="K31" s="92" t="e">
        <f>SUM(J31/J46*100)</f>
        <v>#DIV/0!</v>
      </c>
      <c r="L31" s="91">
        <f>SUM(J31-G31)</f>
        <v>36415000</v>
      </c>
      <c r="M31" s="93">
        <v>1892</v>
      </c>
      <c r="N31" s="93">
        <v>28</v>
      </c>
      <c r="O31" s="93">
        <f>SUM(M31:N31)</f>
        <v>1920</v>
      </c>
      <c r="P31" s="102">
        <f>J31/(G31+I31)*100</f>
        <v>326.77081384678854</v>
      </c>
      <c r="Q31" s="488"/>
    </row>
    <row r="32" spans="2:25" ht="18" thickBot="1">
      <c r="B32" s="96"/>
      <c r="C32" s="97" t="s">
        <v>66</v>
      </c>
      <c r="D32" s="89" t="s">
        <v>53</v>
      </c>
      <c r="E32" s="90">
        <v>1</v>
      </c>
      <c r="F32" s="91">
        <v>7362000</v>
      </c>
      <c r="G32" s="159">
        <v>3003000</v>
      </c>
      <c r="H32" s="92">
        <f>SUM(G32/F32*100)</f>
        <v>40.790546047269764</v>
      </c>
      <c r="I32" s="160">
        <v>217371</v>
      </c>
      <c r="J32" s="91">
        <v>7364000</v>
      </c>
      <c r="K32" s="92" t="e">
        <f>SUM(J32/J47*100)</f>
        <v>#DIV/0!</v>
      </c>
      <c r="L32" s="91">
        <f>SUM(J32-G32)</f>
        <v>4361000</v>
      </c>
      <c r="M32" s="93">
        <v>331</v>
      </c>
      <c r="N32" s="93">
        <v>57</v>
      </c>
      <c r="O32" s="93">
        <f>SUM(M32:N32)</f>
        <v>388</v>
      </c>
      <c r="P32" s="102">
        <f>J32/(G32+I32)*100</f>
        <v>228.66930549306278</v>
      </c>
      <c r="Q32" s="488"/>
    </row>
    <row r="33" spans="2:27" ht="18" thickBot="1"/>
    <row r="34" spans="2:27" ht="18" thickBot="1">
      <c r="B34" s="481" t="s">
        <v>2</v>
      </c>
      <c r="C34" s="481"/>
      <c r="D34" s="481" t="s">
        <v>3</v>
      </c>
      <c r="E34" s="481" t="s">
        <v>4</v>
      </c>
      <c r="F34" s="481" t="s">
        <v>5</v>
      </c>
      <c r="G34" s="481" t="s">
        <v>6</v>
      </c>
      <c r="H34" s="481"/>
      <c r="I34" s="486" t="s">
        <v>7</v>
      </c>
      <c r="J34" s="481" t="s">
        <v>8</v>
      </c>
      <c r="K34" s="481"/>
      <c r="L34" s="486" t="s">
        <v>9</v>
      </c>
      <c r="M34" s="481" t="s">
        <v>10</v>
      </c>
      <c r="N34" s="481"/>
      <c r="O34" s="481"/>
      <c r="P34" s="482" t="s">
        <v>11</v>
      </c>
      <c r="Q34" s="484" t="s">
        <v>11</v>
      </c>
    </row>
    <row r="35" spans="2:27">
      <c r="B35" s="481"/>
      <c r="C35" s="481"/>
      <c r="D35" s="481"/>
      <c r="E35" s="481"/>
      <c r="F35" s="481"/>
      <c r="G35" s="94" t="s">
        <v>12</v>
      </c>
      <c r="H35" s="95" t="s">
        <v>13</v>
      </c>
      <c r="I35" s="486"/>
      <c r="J35" s="95" t="s">
        <v>14</v>
      </c>
      <c r="K35" s="95" t="s">
        <v>13</v>
      </c>
      <c r="L35" s="486"/>
      <c r="M35" s="94" t="s">
        <v>15</v>
      </c>
      <c r="N35" s="94" t="s">
        <v>16</v>
      </c>
      <c r="O35" s="94" t="s">
        <v>17</v>
      </c>
      <c r="P35" s="483"/>
      <c r="Q35" s="485"/>
      <c r="X35" s="3" t="s">
        <v>67</v>
      </c>
      <c r="Y35" s="3" t="s">
        <v>68</v>
      </c>
      <c r="Z35" s="3" t="s">
        <v>69</v>
      </c>
      <c r="AA35" s="3" t="s">
        <v>70</v>
      </c>
    </row>
    <row r="36" spans="2:27">
      <c r="B36" s="96"/>
      <c r="C36" s="97" t="s">
        <v>71</v>
      </c>
      <c r="D36" s="89" t="s">
        <v>72</v>
      </c>
      <c r="E36" s="90">
        <v>1</v>
      </c>
      <c r="F36" s="91">
        <v>8600000</v>
      </c>
      <c r="G36" s="91">
        <v>8414640</v>
      </c>
      <c r="H36" s="92" t="e">
        <f>SUM(G36/G51*100)</f>
        <v>#DIV/0!</v>
      </c>
      <c r="I36" s="91">
        <v>161700</v>
      </c>
      <c r="J36" s="91">
        <f>6018000-600000-100000</f>
        <v>5318000</v>
      </c>
      <c r="K36" s="92" t="e">
        <f>SUM(J36/J51*100)</f>
        <v>#DIV/0!</v>
      </c>
      <c r="L36" s="91">
        <f>SUM(J36-G36)</f>
        <v>-3096640</v>
      </c>
      <c r="M36" s="93">
        <v>309</v>
      </c>
      <c r="N36" s="93">
        <v>31</v>
      </c>
      <c r="O36" s="93">
        <f>SUM(M36:N36)</f>
        <v>340</v>
      </c>
      <c r="P36" s="102">
        <f>J36/(G36+I36)*100</f>
        <v>62.007802862293239</v>
      </c>
      <c r="X36" s="7">
        <v>6018000</v>
      </c>
      <c r="Y36" s="7">
        <v>600000</v>
      </c>
      <c r="Z36" s="166">
        <v>100000</v>
      </c>
      <c r="AA36" s="7">
        <f>X36-Y36-Z36</f>
        <v>5318000</v>
      </c>
    </row>
    <row r="37" spans="2:27">
      <c r="B37" s="96"/>
      <c r="C37" s="97" t="s">
        <v>73</v>
      </c>
      <c r="D37" s="89" t="s">
        <v>63</v>
      </c>
      <c r="E37" s="90">
        <v>1</v>
      </c>
      <c r="F37" s="91">
        <v>9600000</v>
      </c>
      <c r="G37" s="91">
        <v>9040000</v>
      </c>
      <c r="H37" s="92"/>
      <c r="I37" s="91">
        <v>265716</v>
      </c>
      <c r="J37" s="91">
        <v>6804000</v>
      </c>
      <c r="K37" s="92" t="e">
        <f>SUM(J37/J52*100)</f>
        <v>#DIV/0!</v>
      </c>
      <c r="L37" s="91">
        <f>SUM(J37-G37)</f>
        <v>-2236000</v>
      </c>
      <c r="M37" s="93">
        <v>405</v>
      </c>
      <c r="N37" s="93">
        <v>34</v>
      </c>
      <c r="O37" s="93">
        <f>SUM(M37:N37)</f>
        <v>439</v>
      </c>
      <c r="P37" s="102">
        <f>J37/(G37+I37)*100</f>
        <v>73.116351283447727</v>
      </c>
      <c r="X37" s="7">
        <v>8904000</v>
      </c>
      <c r="Y37" s="7">
        <v>1640000</v>
      </c>
      <c r="Z37" s="7">
        <f>115*4000</f>
        <v>460000</v>
      </c>
      <c r="AA37" s="7">
        <f>X37-Y37-Z37</f>
        <v>6804000</v>
      </c>
    </row>
    <row r="38" spans="2:27">
      <c r="B38" s="96"/>
      <c r="C38" s="97" t="s">
        <v>74</v>
      </c>
      <c r="D38" s="89" t="s">
        <v>65</v>
      </c>
      <c r="E38" s="90">
        <v>1</v>
      </c>
      <c r="F38" s="91">
        <v>8600000</v>
      </c>
      <c r="G38" s="91">
        <v>8157300</v>
      </c>
      <c r="H38" s="92" t="e">
        <f>SUM(G38/G52*100)</f>
        <v>#DIV/0!</v>
      </c>
      <c r="I38" s="91">
        <v>196548</v>
      </c>
      <c r="J38" s="91">
        <v>6552100</v>
      </c>
      <c r="K38" s="92" t="e">
        <f>SUM(J38/J52*100)</f>
        <v>#DIV/0!</v>
      </c>
      <c r="L38" s="91">
        <f>SUM(J38-G38)</f>
        <v>-1605200</v>
      </c>
      <c r="M38" s="93">
        <v>384</v>
      </c>
      <c r="N38" s="93">
        <v>23</v>
      </c>
      <c r="O38" s="93">
        <f>SUM(M38:N38)</f>
        <v>407</v>
      </c>
      <c r="P38" s="102">
        <f>J38/(G38+I38)*100</f>
        <v>78.43211894686138</v>
      </c>
      <c r="X38" s="7">
        <v>6992100</v>
      </c>
      <c r="Y38" s="7">
        <v>400000</v>
      </c>
      <c r="Z38" s="7">
        <f>10*4000</f>
        <v>40000</v>
      </c>
      <c r="AA38" s="7">
        <f>X38-Y38-Z38</f>
        <v>6552100</v>
      </c>
    </row>
    <row r="39" spans="2:27">
      <c r="B39" s="96"/>
      <c r="C39" s="97" t="s">
        <v>75</v>
      </c>
      <c r="D39" s="89" t="s">
        <v>53</v>
      </c>
      <c r="E39" s="90">
        <v>1</v>
      </c>
      <c r="F39" s="91">
        <v>8600000</v>
      </c>
      <c r="G39" s="91">
        <v>8237800</v>
      </c>
      <c r="H39" s="92"/>
      <c r="I39" s="91">
        <v>289344</v>
      </c>
      <c r="J39" s="91">
        <v>8150000</v>
      </c>
      <c r="K39" s="92" t="e">
        <f>SUM(J39/J54*100)</f>
        <v>#DIV/0!</v>
      </c>
      <c r="L39" s="91">
        <f>SUM(J39-G39)</f>
        <v>-87800</v>
      </c>
      <c r="M39" s="93">
        <v>503</v>
      </c>
      <c r="N39" s="93">
        <v>33</v>
      </c>
      <c r="O39" s="93">
        <f>SUM(M39:N39)</f>
        <v>536</v>
      </c>
      <c r="P39" s="102">
        <f>J39/(G39+I39)*100</f>
        <v>95.577135791303618</v>
      </c>
      <c r="X39" s="7">
        <v>8962000</v>
      </c>
      <c r="Y39" s="7">
        <v>640000</v>
      </c>
      <c r="Z39" s="7">
        <f>43*4000</f>
        <v>172000</v>
      </c>
      <c r="AA39" s="7">
        <f>X39-Y39-Z39</f>
        <v>8150000</v>
      </c>
    </row>
    <row r="40" spans="2:27" ht="18" thickBot="1">
      <c r="B40" s="96"/>
      <c r="C40" s="97" t="s">
        <v>76</v>
      </c>
      <c r="D40" s="89" t="s">
        <v>41</v>
      </c>
      <c r="E40" s="90">
        <v>1</v>
      </c>
      <c r="F40" s="91">
        <v>8600000</v>
      </c>
      <c r="G40" s="91">
        <v>8556300</v>
      </c>
      <c r="H40" s="92" t="e">
        <f>SUM(G40/G53*100)</f>
        <v>#DIV/0!</v>
      </c>
      <c r="I40" s="91">
        <v>471416</v>
      </c>
      <c r="J40" s="91">
        <v>14856000</v>
      </c>
      <c r="K40" s="92" t="e">
        <f>SUM(J40/J53*100)</f>
        <v>#DIV/0!</v>
      </c>
      <c r="L40" s="91">
        <f>SUM(J40-G40)</f>
        <v>6299700</v>
      </c>
      <c r="M40" s="93">
        <v>899</v>
      </c>
      <c r="N40" s="93">
        <v>10</v>
      </c>
      <c r="O40" s="93">
        <f>SUM(M40:N40)</f>
        <v>909</v>
      </c>
      <c r="P40" s="102">
        <f>J40/(G40+I40)*100</f>
        <v>164.55989532679141</v>
      </c>
      <c r="X40" s="7">
        <v>15656000</v>
      </c>
      <c r="Y40" s="7">
        <v>800000</v>
      </c>
      <c r="AA40" s="7">
        <f>X40-Y40-Z40</f>
        <v>14856000</v>
      </c>
    </row>
    <row r="41" spans="2:27">
      <c r="D41" s="74"/>
      <c r="E41" s="103">
        <f>SUM(E36:E40)</f>
        <v>5</v>
      </c>
      <c r="F41" s="74">
        <f>SUM(F36:F40)</f>
        <v>44000000</v>
      </c>
      <c r="G41" s="74">
        <f>SUM(G36:G40)</f>
        <v>42406040</v>
      </c>
      <c r="I41" s="74">
        <f>SUM(I36:I40)</f>
        <v>1384724</v>
      </c>
      <c r="J41" s="74">
        <f>SUM(J36:J40)</f>
        <v>41680100</v>
      </c>
      <c r="L41" s="74">
        <f>SUM(L36:L40)</f>
        <v>-725940</v>
      </c>
      <c r="M41" s="103">
        <f>SUM(M36:M40)</f>
        <v>2500</v>
      </c>
      <c r="N41" s="103">
        <f>SUM(N36:N40)</f>
        <v>131</v>
      </c>
      <c r="O41" s="103">
        <f>SUM(O36:O40)</f>
        <v>2631</v>
      </c>
    </row>
    <row r="42" spans="2:27">
      <c r="M42" s="2"/>
      <c r="N42" s="2"/>
      <c r="O42" s="2"/>
      <c r="P42" s="2"/>
    </row>
    <row r="43" spans="2:27">
      <c r="M43" s="2"/>
      <c r="N43" s="2"/>
      <c r="O43" s="2"/>
      <c r="P43" s="2"/>
    </row>
  </sheetData>
  <mergeCells count="40">
    <mergeCell ref="Q28:Q29"/>
    <mergeCell ref="B34:C35"/>
    <mergeCell ref="D34:D35"/>
    <mergeCell ref="E34:E35"/>
    <mergeCell ref="F34:F35"/>
    <mergeCell ref="G34:H34"/>
    <mergeCell ref="I34:I35"/>
    <mergeCell ref="J34:K34"/>
    <mergeCell ref="L34:L35"/>
    <mergeCell ref="M34:O34"/>
    <mergeCell ref="P34:P35"/>
    <mergeCell ref="Q34:Q35"/>
    <mergeCell ref="Q30:Q32"/>
    <mergeCell ref="I28:I29"/>
    <mergeCell ref="J28:K28"/>
    <mergeCell ref="L28:L29"/>
    <mergeCell ref="M28:O28"/>
    <mergeCell ref="P28:P29"/>
    <mergeCell ref="B28:C29"/>
    <mergeCell ref="D28:D29"/>
    <mergeCell ref="E28:E29"/>
    <mergeCell ref="F28:F29"/>
    <mergeCell ref="G28:H28"/>
    <mergeCell ref="B23:D23"/>
    <mergeCell ref="P4:P5"/>
    <mergeCell ref="Q4:Q5"/>
    <mergeCell ref="B6:B14"/>
    <mergeCell ref="Q6:Q14"/>
    <mergeCell ref="B16:B22"/>
    <mergeCell ref="Q16:Q22"/>
    <mergeCell ref="B4:C5"/>
    <mergeCell ref="C2:P2"/>
    <mergeCell ref="D4:D5"/>
    <mergeCell ref="E4:E5"/>
    <mergeCell ref="F4:F5"/>
    <mergeCell ref="G4:H4"/>
    <mergeCell ref="I4:I5"/>
    <mergeCell ref="J4:K4"/>
    <mergeCell ref="L4:L5"/>
    <mergeCell ref="M4:O4"/>
  </mergeCells>
  <phoneticPr fontId="2" type="noConversion"/>
  <pageMargins left="0.7" right="0.7" top="0.75" bottom="0.75" header="0.3" footer="0.3"/>
  <pageSetup paperSize="8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BDACE-CB5C-43DB-9F22-E5F60DB85B11}">
  <dimension ref="B2:AA43"/>
  <sheetViews>
    <sheetView tabSelected="1" topLeftCell="C1" workbookViewId="0">
      <selection activeCell="Y16" sqref="Y16"/>
    </sheetView>
  </sheetViews>
  <sheetFormatPr defaultRowHeight="17.399999999999999"/>
  <cols>
    <col min="1" max="1" width="2.3984375" customWidth="1"/>
    <col min="2" max="2" width="4.3984375" customWidth="1"/>
    <col min="3" max="3" width="35.5" style="1" customWidth="1"/>
    <col min="4" max="4" width="11.59765625" style="1" customWidth="1"/>
    <col min="5" max="5" width="5.8984375" style="1" bestFit="1" customWidth="1"/>
    <col min="6" max="6" width="12.09765625" style="2" customWidth="1"/>
    <col min="7" max="7" width="11.59765625" style="2" bestFit="1" customWidth="1"/>
    <col min="8" max="8" width="8.3984375" style="2" bestFit="1" customWidth="1"/>
    <col min="9" max="9" width="7.8984375" style="2" bestFit="1" customWidth="1"/>
    <col min="10" max="10" width="11.3984375" style="2" customWidth="1"/>
    <col min="11" max="11" width="9.5" style="2" bestFit="1" customWidth="1"/>
    <col min="12" max="12" width="10.59765625" style="2" customWidth="1"/>
    <col min="13" max="13" width="9.3984375" bestFit="1" customWidth="1"/>
    <col min="14" max="14" width="9.09765625" bestFit="1" customWidth="1"/>
    <col min="15" max="15" width="11.296875" bestFit="1" customWidth="1"/>
    <col min="16" max="16" width="9.8984375" bestFit="1" customWidth="1"/>
    <col min="17" max="17" width="8" customWidth="1"/>
    <col min="18" max="18" width="0" hidden="1" customWidth="1"/>
    <col min="19" max="19" width="10.5" style="5" hidden="1" customWidth="1"/>
    <col min="20" max="20" width="10.8984375" hidden="1" customWidth="1"/>
    <col min="21" max="22" width="0" hidden="1" customWidth="1"/>
    <col min="23" max="23" width="6.19921875" customWidth="1"/>
    <col min="24" max="24" width="10.5" style="2" bestFit="1" customWidth="1"/>
    <col min="25" max="25" width="11.3984375" style="2" bestFit="1" customWidth="1"/>
    <col min="26" max="26" width="9.59765625" style="2" bestFit="1" customWidth="1"/>
    <col min="27" max="27" width="10.5" style="2" bestFit="1" customWidth="1"/>
  </cols>
  <sheetData>
    <row r="2" spans="2:25" ht="25.2">
      <c r="C2" s="451" t="s">
        <v>0</v>
      </c>
      <c r="D2" s="451"/>
      <c r="E2" s="451"/>
      <c r="F2" s="451"/>
      <c r="G2" s="451"/>
      <c r="H2" s="451"/>
      <c r="I2" s="451"/>
      <c r="J2" s="452"/>
      <c r="K2" s="452"/>
      <c r="L2" s="452"/>
      <c r="M2" s="452"/>
      <c r="N2" s="452"/>
      <c r="O2" s="452"/>
      <c r="P2" s="452"/>
    </row>
    <row r="3" spans="2:25" ht="17.25" customHeight="1" thickBot="1">
      <c r="D3" s="13"/>
      <c r="E3" s="13"/>
      <c r="F3"/>
      <c r="G3"/>
      <c r="H3"/>
      <c r="I3"/>
      <c r="J3"/>
      <c r="K3"/>
      <c r="L3"/>
      <c r="Q3" s="28" t="s">
        <v>1</v>
      </c>
    </row>
    <row r="4" spans="2:25">
      <c r="B4" s="477" t="s">
        <v>2</v>
      </c>
      <c r="C4" s="478"/>
      <c r="D4" s="453" t="s">
        <v>3</v>
      </c>
      <c r="E4" s="455" t="s">
        <v>4</v>
      </c>
      <c r="F4" s="457" t="s">
        <v>5</v>
      </c>
      <c r="G4" s="459" t="s">
        <v>6</v>
      </c>
      <c r="H4" s="460"/>
      <c r="I4" s="461" t="s">
        <v>7</v>
      </c>
      <c r="J4" s="463" t="s">
        <v>8</v>
      </c>
      <c r="K4" s="460"/>
      <c r="L4" s="461" t="s">
        <v>9</v>
      </c>
      <c r="M4" s="463" t="s">
        <v>10</v>
      </c>
      <c r="N4" s="464"/>
      <c r="O4" s="465"/>
      <c r="P4" s="469" t="s">
        <v>11</v>
      </c>
      <c r="Q4" s="469" t="s">
        <v>11</v>
      </c>
    </row>
    <row r="5" spans="2:25" ht="17.25" customHeight="1" thickBot="1">
      <c r="B5" s="479"/>
      <c r="C5" s="480"/>
      <c r="D5" s="454"/>
      <c r="E5" s="456"/>
      <c r="F5" s="458"/>
      <c r="G5" s="29" t="s">
        <v>12</v>
      </c>
      <c r="H5" s="30" t="s">
        <v>13</v>
      </c>
      <c r="I5" s="462"/>
      <c r="J5" s="31" t="s">
        <v>14</v>
      </c>
      <c r="K5" s="30" t="s">
        <v>13</v>
      </c>
      <c r="L5" s="462"/>
      <c r="M5" s="32" t="s">
        <v>15</v>
      </c>
      <c r="N5" s="29" t="s">
        <v>16</v>
      </c>
      <c r="O5" s="33" t="s">
        <v>17</v>
      </c>
      <c r="P5" s="470"/>
      <c r="Q5" s="470"/>
      <c r="Y5" s="414"/>
    </row>
    <row r="6" spans="2:25">
      <c r="B6" s="471" t="s">
        <v>18</v>
      </c>
      <c r="C6" s="34" t="s">
        <v>19</v>
      </c>
      <c r="D6" s="35" t="s">
        <v>20</v>
      </c>
      <c r="E6" s="36">
        <v>1</v>
      </c>
      <c r="F6" s="37">
        <v>45500000</v>
      </c>
      <c r="G6" s="38">
        <v>45208740</v>
      </c>
      <c r="H6" s="39">
        <f>SUM(G6/G23*100)</f>
        <v>3.1924382268159612</v>
      </c>
      <c r="I6" s="40">
        <v>743474</v>
      </c>
      <c r="J6" s="37">
        <v>23108000</v>
      </c>
      <c r="K6" s="39">
        <f>SUM(J6/J23*100)</f>
        <v>1.818851406057499</v>
      </c>
      <c r="L6" s="40">
        <f t="shared" ref="L6:L22" si="0">SUM(J6-G6)</f>
        <v>-22100740</v>
      </c>
      <c r="M6" s="41">
        <v>464</v>
      </c>
      <c r="N6" s="42">
        <v>40</v>
      </c>
      <c r="O6" s="43">
        <f>SUM(M6:N6)</f>
        <v>504</v>
      </c>
      <c r="P6" s="44">
        <f>J6/(G6+I6)*100</f>
        <v>50.287022079066745</v>
      </c>
      <c r="Q6" s="474">
        <f>Q25</f>
        <v>43.541049164449603</v>
      </c>
      <c r="R6" s="3" t="s">
        <v>21</v>
      </c>
      <c r="S6" s="4">
        <v>8526000</v>
      </c>
      <c r="T6" s="3">
        <v>546</v>
      </c>
      <c r="U6" s="3">
        <v>26</v>
      </c>
      <c r="V6" s="3">
        <f>SUM(T6:U6)</f>
        <v>572</v>
      </c>
      <c r="Y6" s="414"/>
    </row>
    <row r="7" spans="2:25">
      <c r="B7" s="472"/>
      <c r="C7" s="75" t="s">
        <v>22</v>
      </c>
      <c r="D7" s="45" t="s">
        <v>23</v>
      </c>
      <c r="E7" s="46">
        <v>1</v>
      </c>
      <c r="F7" s="47">
        <v>40500000</v>
      </c>
      <c r="G7" s="48">
        <v>40223740</v>
      </c>
      <c r="H7" s="49">
        <f>SUM(G7/G23*100)</f>
        <v>2.8404199099887824</v>
      </c>
      <c r="I7" s="50">
        <v>1123227</v>
      </c>
      <c r="J7" s="47">
        <v>31545000</v>
      </c>
      <c r="K7" s="49">
        <f>SUM(J7/J23*100)</f>
        <v>2.4829352433825429</v>
      </c>
      <c r="L7" s="50">
        <f t="shared" si="0"/>
        <v>-8678740</v>
      </c>
      <c r="M7" s="51">
        <v>811</v>
      </c>
      <c r="N7" s="52">
        <v>10</v>
      </c>
      <c r="O7" s="53">
        <f t="shared" ref="O7:O22" si="1">SUM(M7:N7)</f>
        <v>821</v>
      </c>
      <c r="P7" s="54">
        <f t="shared" ref="P7:P22" si="2">J7/(G7+I7)*100</f>
        <v>76.293383260735908</v>
      </c>
      <c r="Q7" s="475"/>
      <c r="R7" s="3" t="s">
        <v>24</v>
      </c>
      <c r="S7" s="4">
        <v>10045500</v>
      </c>
      <c r="T7" s="3">
        <v>691</v>
      </c>
      <c r="U7" s="3">
        <v>32</v>
      </c>
      <c r="V7" s="3">
        <f t="shared" ref="V7:V11" si="3">SUM(T7:U7)</f>
        <v>723</v>
      </c>
      <c r="Y7" s="415"/>
    </row>
    <row r="8" spans="2:25">
      <c r="B8" s="472"/>
      <c r="C8" s="75" t="s">
        <v>25</v>
      </c>
      <c r="D8" s="45" t="s">
        <v>26</v>
      </c>
      <c r="E8" s="46">
        <v>2</v>
      </c>
      <c r="F8" s="212">
        <v>276000000</v>
      </c>
      <c r="G8" s="48">
        <v>275842232</v>
      </c>
      <c r="H8" s="49">
        <f>SUM(G8/G23*100)</f>
        <v>19.478739863288315</v>
      </c>
      <c r="I8" s="50">
        <v>1470249</v>
      </c>
      <c r="J8" s="47">
        <v>42609000</v>
      </c>
      <c r="K8" s="49">
        <f>SUM(J8/J23*100)</f>
        <v>3.3537926069198534</v>
      </c>
      <c r="L8" s="50">
        <f>SUM(J8-G8)</f>
        <v>-233233232</v>
      </c>
      <c r="M8" s="51">
        <v>546</v>
      </c>
      <c r="N8" s="52">
        <v>211</v>
      </c>
      <c r="O8" s="53">
        <f>SUM(M8:N8)</f>
        <v>757</v>
      </c>
      <c r="P8" s="54">
        <f>J8/(G8+I8)*100</f>
        <v>15.364977388089503</v>
      </c>
      <c r="Q8" s="475"/>
      <c r="R8" s="3"/>
      <c r="S8" s="4"/>
      <c r="T8" s="3"/>
      <c r="U8" s="3"/>
      <c r="V8" s="3"/>
      <c r="Y8" s="416"/>
    </row>
    <row r="9" spans="2:25">
      <c r="B9" s="472"/>
      <c r="C9" s="75" t="s">
        <v>27</v>
      </c>
      <c r="D9" s="45" t="s">
        <v>28</v>
      </c>
      <c r="E9" s="46">
        <v>4</v>
      </c>
      <c r="F9" s="211">
        <v>26480000</v>
      </c>
      <c r="G9" s="58">
        <f>SUM(G30:G32)</f>
        <v>20853000</v>
      </c>
      <c r="H9" s="59">
        <f>SUM(G9/G23*100)</f>
        <v>1.4725452278429623</v>
      </c>
      <c r="I9" s="88">
        <f>SUM(I30:I32)</f>
        <v>2479598</v>
      </c>
      <c r="J9" s="57">
        <f>SUM(J30:J32)</f>
        <v>72517000</v>
      </c>
      <c r="K9" s="59">
        <f>SUM(J9/J23*100)</f>
        <v>5.7078781120422208</v>
      </c>
      <c r="L9" s="88">
        <f>SUM(J9-G9)</f>
        <v>51664000</v>
      </c>
      <c r="M9" s="61">
        <f>SUM(M30:M32)</f>
        <v>2861</v>
      </c>
      <c r="N9" s="62">
        <f>SUM(N30:N32)</f>
        <v>101</v>
      </c>
      <c r="O9" s="63">
        <f t="shared" si="1"/>
        <v>2962</v>
      </c>
      <c r="P9" s="77">
        <f t="shared" si="2"/>
        <v>310.79693740062726</v>
      </c>
      <c r="Q9" s="475"/>
      <c r="R9" s="3" t="s">
        <v>29</v>
      </c>
      <c r="S9" s="4">
        <v>9974000</v>
      </c>
      <c r="T9" s="3">
        <v>718</v>
      </c>
      <c r="U9" s="3">
        <v>10</v>
      </c>
      <c r="V9" s="3">
        <f t="shared" si="3"/>
        <v>728</v>
      </c>
      <c r="Y9" s="415"/>
    </row>
    <row r="10" spans="2:25">
      <c r="B10" s="472"/>
      <c r="C10" s="98" t="s">
        <v>30</v>
      </c>
      <c r="D10" s="45" t="s">
        <v>31</v>
      </c>
      <c r="E10" s="46">
        <v>1</v>
      </c>
      <c r="F10" s="213">
        <v>118020000</v>
      </c>
      <c r="G10" s="58">
        <v>117953320</v>
      </c>
      <c r="H10" s="49">
        <f>SUM(G10/G23*100)</f>
        <v>8.3293338356223963</v>
      </c>
      <c r="I10" s="88">
        <v>0</v>
      </c>
      <c r="J10" s="57">
        <v>0</v>
      </c>
      <c r="K10" s="59">
        <f>SUM(J10/J23*100)</f>
        <v>0</v>
      </c>
      <c r="L10" s="88">
        <f>SUM(J10-G10)</f>
        <v>-117953320</v>
      </c>
      <c r="M10" s="61">
        <v>0</v>
      </c>
      <c r="N10" s="62">
        <v>900</v>
      </c>
      <c r="O10" s="63">
        <f t="shared" si="1"/>
        <v>900</v>
      </c>
      <c r="P10" s="77">
        <f>J10/(G10+I10)*100</f>
        <v>0</v>
      </c>
      <c r="Q10" s="475"/>
      <c r="R10" s="3"/>
      <c r="S10" s="4"/>
      <c r="T10" s="3"/>
      <c r="U10" s="3"/>
      <c r="V10" s="3"/>
      <c r="Y10" s="415"/>
    </row>
    <row r="11" spans="2:25">
      <c r="B11" s="472"/>
      <c r="C11" s="99" t="s">
        <v>32</v>
      </c>
      <c r="D11" s="55" t="s">
        <v>33</v>
      </c>
      <c r="E11" s="100">
        <v>1</v>
      </c>
      <c r="F11" s="212">
        <v>63000000</v>
      </c>
      <c r="G11" s="190">
        <v>61660580</v>
      </c>
      <c r="H11" s="49">
        <f>SUM(G11/G23*100)</f>
        <v>4.3541932971289121</v>
      </c>
      <c r="I11" s="50">
        <v>249194</v>
      </c>
      <c r="J11" s="47">
        <v>9073000</v>
      </c>
      <c r="K11" s="49">
        <f>SUM(J11/J23*100)</f>
        <v>0.71414396776699351</v>
      </c>
      <c r="L11" s="50">
        <f>SUM(J11-G11)</f>
        <v>-52587580</v>
      </c>
      <c r="M11" s="51">
        <v>428</v>
      </c>
      <c r="N11" s="52">
        <v>30</v>
      </c>
      <c r="O11" s="53">
        <f t="shared" si="1"/>
        <v>458</v>
      </c>
      <c r="P11" s="189">
        <f>J11/(G11+I11)*100</f>
        <v>14.655198062910065</v>
      </c>
      <c r="Q11" s="475"/>
      <c r="R11" s="3" t="s">
        <v>34</v>
      </c>
      <c r="S11" s="4">
        <v>12922500</v>
      </c>
      <c r="T11" s="3">
        <v>921</v>
      </c>
      <c r="U11" s="3">
        <v>16</v>
      </c>
      <c r="V11" s="3">
        <f t="shared" si="3"/>
        <v>937</v>
      </c>
      <c r="Y11" s="416"/>
    </row>
    <row r="12" spans="2:25">
      <c r="B12" s="472"/>
      <c r="C12" s="98" t="s">
        <v>35</v>
      </c>
      <c r="D12" s="45" t="s">
        <v>36</v>
      </c>
      <c r="E12" s="101">
        <v>5</v>
      </c>
      <c r="F12" s="210">
        <v>150500000</v>
      </c>
      <c r="G12" s="190">
        <v>149504000</v>
      </c>
      <c r="H12" s="49">
        <f>SUM(G12/G23*100)</f>
        <v>10.5573011913602</v>
      </c>
      <c r="I12" s="50">
        <v>662288</v>
      </c>
      <c r="J12" s="47">
        <v>21688000</v>
      </c>
      <c r="K12" s="49">
        <f>SUM(J12/J23*100)</f>
        <v>1.7070819324292468</v>
      </c>
      <c r="L12" s="50">
        <f t="shared" si="0"/>
        <v>-127816000</v>
      </c>
      <c r="M12" s="51">
        <v>1038</v>
      </c>
      <c r="N12" s="52">
        <v>294</v>
      </c>
      <c r="O12" s="53">
        <f t="shared" si="1"/>
        <v>1332</v>
      </c>
      <c r="P12" s="189">
        <f>J12/(G12+I12)*100</f>
        <v>14.442655731091921</v>
      </c>
      <c r="Q12" s="475"/>
      <c r="R12" s="3"/>
      <c r="S12" s="4">
        <f>SUM(S6:S11)</f>
        <v>41468000</v>
      </c>
      <c r="T12" s="4">
        <f>SUM(T6:T11)</f>
        <v>2876</v>
      </c>
      <c r="U12" s="4">
        <f>SUM(U6:U11)</f>
        <v>84</v>
      </c>
      <c r="V12" s="4">
        <f>SUM(V6:V11)</f>
        <v>2960</v>
      </c>
      <c r="Y12" s="416"/>
    </row>
    <row r="13" spans="2:25" ht="17.25" customHeight="1">
      <c r="B13" s="472"/>
      <c r="C13" s="203" t="s">
        <v>37</v>
      </c>
      <c r="D13" s="204" t="s">
        <v>33</v>
      </c>
      <c r="E13" s="206" t="s">
        <v>38</v>
      </c>
      <c r="F13" s="216">
        <v>43000000</v>
      </c>
      <c r="G13" s="205">
        <v>42096540</v>
      </c>
      <c r="H13" s="49">
        <f>SUM(G13/G23*100)</f>
        <v>2.9726686369203654</v>
      </c>
      <c r="I13" s="88">
        <v>3560239</v>
      </c>
      <c r="J13" s="198">
        <v>107707500</v>
      </c>
      <c r="K13" s="202">
        <f>SUM(J13/J23*100)</f>
        <v>8.477753930151378</v>
      </c>
      <c r="L13" s="88">
        <f>SUM(J13-G13)</f>
        <v>65610960</v>
      </c>
      <c r="M13" s="158">
        <v>3568</v>
      </c>
      <c r="N13" s="199">
        <v>155</v>
      </c>
      <c r="O13" s="200">
        <f>SUM(M13:N13)</f>
        <v>3723</v>
      </c>
      <c r="P13" s="189">
        <f>J13/(G13+I13)*100</f>
        <v>235.90691756858274</v>
      </c>
      <c r="Q13" s="475"/>
      <c r="R13" s="3" t="s">
        <v>39</v>
      </c>
      <c r="S13" s="4">
        <v>4219000</v>
      </c>
      <c r="T13" s="3">
        <v>140</v>
      </c>
      <c r="U13" s="3">
        <v>72</v>
      </c>
      <c r="V13" s="7">
        <f t="shared" ref="V13" si="4">SUM(T13:U13)</f>
        <v>212</v>
      </c>
      <c r="Y13" s="417"/>
    </row>
    <row r="14" spans="2:25" ht="18" thickBot="1">
      <c r="B14" s="473"/>
      <c r="C14" s="162" t="s">
        <v>40</v>
      </c>
      <c r="D14" s="225" t="s">
        <v>41</v>
      </c>
      <c r="E14" s="221" t="s">
        <v>42</v>
      </c>
      <c r="F14" s="277">
        <v>50500000</v>
      </c>
      <c r="G14" s="278">
        <v>44196540</v>
      </c>
      <c r="H14" s="64">
        <f>SUM(G14/G25*100)</f>
        <v>5.5416170329200778</v>
      </c>
      <c r="I14" s="279">
        <v>1635045</v>
      </c>
      <c r="J14" s="280">
        <v>44200750</v>
      </c>
      <c r="K14" s="64">
        <f>SUM(J14/J25*100)</f>
        <v>12.541060992642183</v>
      </c>
      <c r="L14" s="276">
        <f>J14-G14</f>
        <v>4210</v>
      </c>
      <c r="M14" s="207">
        <v>1408</v>
      </c>
      <c r="N14" s="208">
        <v>34</v>
      </c>
      <c r="O14" s="209">
        <f>SUM(M14:N14)</f>
        <v>1442</v>
      </c>
      <c r="P14" s="282">
        <f>J14/(G14+I14)*100</f>
        <v>96.441678811675402</v>
      </c>
      <c r="Q14" s="476"/>
      <c r="R14" s="3" t="s">
        <v>43</v>
      </c>
      <c r="S14" s="4">
        <v>9331000</v>
      </c>
      <c r="T14" s="3">
        <v>333</v>
      </c>
      <c r="U14" s="3">
        <v>346</v>
      </c>
      <c r="V14" s="7">
        <f>SUM(T14:U14)</f>
        <v>679</v>
      </c>
      <c r="Y14" s="416"/>
    </row>
    <row r="15" spans="2:25">
      <c r="B15" s="83"/>
      <c r="C15" s="76" t="s">
        <v>44</v>
      </c>
      <c r="D15" s="224" t="s">
        <v>45</v>
      </c>
      <c r="E15" s="222">
        <v>5</v>
      </c>
      <c r="F15" s="215">
        <v>44000000</v>
      </c>
      <c r="G15" s="190">
        <f>G41</f>
        <v>42406040</v>
      </c>
      <c r="H15" s="86">
        <f>SUM(G15/G23*100)</f>
        <v>2.9945241372329052</v>
      </c>
      <c r="I15" s="87">
        <f>I41+Y41</f>
        <v>5464724</v>
      </c>
      <c r="J15" s="413">
        <f>J41</f>
        <v>45740000</v>
      </c>
      <c r="K15" s="59">
        <f>SUM(J15/J23*100)</f>
        <v>3.6002364251804564</v>
      </c>
      <c r="L15" s="60">
        <f>SUM(J15-G15)</f>
        <v>3333960</v>
      </c>
      <c r="M15" s="201">
        <f>M41</f>
        <v>2500</v>
      </c>
      <c r="N15" s="85">
        <f>N41</f>
        <v>131</v>
      </c>
      <c r="O15" s="63">
        <f>SUM(M15:N15)</f>
        <v>2631</v>
      </c>
      <c r="P15" s="283">
        <f t="shared" ref="P15:P17" si="5">J15/(G15+I15)*100</f>
        <v>95.548924182618023</v>
      </c>
      <c r="Q15" s="84"/>
      <c r="R15" s="3"/>
      <c r="S15" s="4"/>
      <c r="T15" s="3"/>
      <c r="U15" s="3"/>
      <c r="V15" s="7"/>
      <c r="Y15" s="415"/>
    </row>
    <row r="16" spans="2:25" ht="16.5" customHeight="1">
      <c r="B16" s="472" t="s">
        <v>46</v>
      </c>
      <c r="C16" s="75" t="s">
        <v>47</v>
      </c>
      <c r="D16" s="45" t="s">
        <v>31</v>
      </c>
      <c r="E16" s="223">
        <v>7</v>
      </c>
      <c r="F16" s="214">
        <v>63500000</v>
      </c>
      <c r="G16" s="48">
        <v>62586320</v>
      </c>
      <c r="H16" s="49">
        <f>SUM(G16/G23*100)</f>
        <v>4.4195648992592211</v>
      </c>
      <c r="I16" s="88">
        <v>3014220</v>
      </c>
      <c r="J16" s="47">
        <v>89778000</v>
      </c>
      <c r="K16" s="49">
        <f>SUM(J16/J23*100)</f>
        <v>7.0665069038008541</v>
      </c>
      <c r="L16" s="50">
        <f t="shared" ref="L16:L17" si="6">SUM(J16-G16)</f>
        <v>27191680</v>
      </c>
      <c r="M16" s="51">
        <v>2756</v>
      </c>
      <c r="N16" s="52">
        <v>97</v>
      </c>
      <c r="O16" s="53">
        <f t="shared" ref="O16:O17" si="7">SUM(M16:N16)</f>
        <v>2853</v>
      </c>
      <c r="P16" s="54">
        <f t="shared" si="5"/>
        <v>136.85558076198762</v>
      </c>
      <c r="Q16" s="475">
        <f>Q26</f>
        <v>142.30867792259886</v>
      </c>
      <c r="R16" s="3"/>
      <c r="S16" s="4"/>
      <c r="T16" s="3"/>
      <c r="U16" s="3"/>
      <c r="V16" s="3"/>
      <c r="Y16" s="415"/>
    </row>
    <row r="17" spans="2:25">
      <c r="B17" s="472"/>
      <c r="C17" s="75" t="s">
        <v>48</v>
      </c>
      <c r="D17" s="45" t="s">
        <v>49</v>
      </c>
      <c r="E17" s="46">
        <v>4</v>
      </c>
      <c r="F17" s="212">
        <v>176000000</v>
      </c>
      <c r="G17" s="48">
        <v>175988780</v>
      </c>
      <c r="H17" s="49">
        <f>SUM(G17/G23*100)</f>
        <v>12.427537435520307</v>
      </c>
      <c r="I17" s="50">
        <v>9221140</v>
      </c>
      <c r="J17" s="47">
        <v>247663250</v>
      </c>
      <c r="K17" s="49">
        <f>SUM(J17/J23*100)</f>
        <v>19.493796541945208</v>
      </c>
      <c r="L17" s="50">
        <f t="shared" si="6"/>
        <v>71674470</v>
      </c>
      <c r="M17" s="51">
        <v>3636</v>
      </c>
      <c r="N17" s="52">
        <v>45</v>
      </c>
      <c r="O17" s="53">
        <f t="shared" si="7"/>
        <v>3681</v>
      </c>
      <c r="P17" s="54">
        <f t="shared" si="5"/>
        <v>133.72029424773791</v>
      </c>
      <c r="Q17" s="475"/>
      <c r="R17" s="3"/>
      <c r="S17" s="4"/>
      <c r="T17" s="3"/>
      <c r="U17" s="3"/>
      <c r="V17" s="3"/>
      <c r="Y17" s="416"/>
    </row>
    <row r="18" spans="2:25">
      <c r="B18" s="472"/>
      <c r="C18" s="104" t="s">
        <v>50</v>
      </c>
      <c r="D18" s="45" t="s">
        <v>51</v>
      </c>
      <c r="E18" s="46">
        <v>6</v>
      </c>
      <c r="F18" s="210">
        <v>6000000</v>
      </c>
      <c r="G18" s="48">
        <v>5053160</v>
      </c>
      <c r="H18" s="49">
        <f>SUM(G18/G23*100)</f>
        <v>0.35683146998163062</v>
      </c>
      <c r="I18" s="50">
        <v>5465688</v>
      </c>
      <c r="J18" s="412">
        <v>21447419</v>
      </c>
      <c r="K18" s="49">
        <f>SUM(J18/J23*100)</f>
        <v>1.6881455861370225</v>
      </c>
      <c r="L18" s="50">
        <f t="shared" si="0"/>
        <v>16394259</v>
      </c>
      <c r="M18" s="51">
        <v>2921</v>
      </c>
      <c r="N18" s="52">
        <v>79</v>
      </c>
      <c r="O18" s="53">
        <f t="shared" si="1"/>
        <v>3000</v>
      </c>
      <c r="P18" s="54">
        <f t="shared" si="2"/>
        <v>203.89513186234845</v>
      </c>
      <c r="Q18" s="475"/>
      <c r="R18" s="3"/>
      <c r="S18" s="4"/>
      <c r="T18" s="3"/>
      <c r="U18" s="3"/>
      <c r="V18" s="3"/>
      <c r="Y18" s="416"/>
    </row>
    <row r="19" spans="2:25">
      <c r="B19" s="472"/>
      <c r="C19" s="104" t="s">
        <v>52</v>
      </c>
      <c r="D19" s="45" t="s">
        <v>53</v>
      </c>
      <c r="E19" s="46" t="s">
        <v>38</v>
      </c>
      <c r="F19" s="210">
        <v>71500000</v>
      </c>
      <c r="G19" s="48">
        <v>71270940</v>
      </c>
      <c r="H19" s="49">
        <f>SUM(G19/G23*100)</f>
        <v>5.032833768804589</v>
      </c>
      <c r="I19" s="50">
        <v>3927586</v>
      </c>
      <c r="J19" s="47">
        <v>113412200</v>
      </c>
      <c r="K19" s="49">
        <f>SUM(J19/J23*100)</f>
        <v>8.9267759838183434</v>
      </c>
      <c r="L19" s="50">
        <f>SUM(J19-G19)</f>
        <v>42141260</v>
      </c>
      <c r="M19" s="51">
        <v>3042</v>
      </c>
      <c r="N19" s="52">
        <v>136</v>
      </c>
      <c r="O19" s="53">
        <f>SUM(M19:N19)</f>
        <v>3178</v>
      </c>
      <c r="P19" s="54">
        <f>J19/(G19+I19)*100</f>
        <v>150.81705191934213</v>
      </c>
      <c r="Q19" s="475"/>
      <c r="R19" s="3"/>
      <c r="S19" s="4"/>
      <c r="T19" s="3"/>
      <c r="U19" s="3"/>
      <c r="V19" s="3"/>
      <c r="Y19" s="416"/>
    </row>
    <row r="20" spans="2:25">
      <c r="B20" s="472"/>
      <c r="C20" s="76" t="s">
        <v>54</v>
      </c>
      <c r="D20" s="55" t="s">
        <v>55</v>
      </c>
      <c r="E20" s="56">
        <v>4</v>
      </c>
      <c r="F20" s="211">
        <v>10100000</v>
      </c>
      <c r="G20" s="58">
        <v>10082720</v>
      </c>
      <c r="H20" s="49">
        <f>SUM(G20/G23*100)</f>
        <v>0.71199641392973634</v>
      </c>
      <c r="I20" s="60">
        <v>2212220</v>
      </c>
      <c r="J20" s="57">
        <v>52751000</v>
      </c>
      <c r="K20" s="49">
        <f>SUM(J20/J23*100)</f>
        <v>4.1520785234957209</v>
      </c>
      <c r="L20" s="60">
        <f>SUM(J20-G20)</f>
        <v>42668280</v>
      </c>
      <c r="M20" s="61">
        <v>3808</v>
      </c>
      <c r="N20" s="62">
        <v>76</v>
      </c>
      <c r="O20" s="63">
        <f>SUM(M20:N20)</f>
        <v>3884</v>
      </c>
      <c r="P20" s="77">
        <f t="shared" ref="P20" si="8">J20/(G20+I20)*100</f>
        <v>429.04642072267131</v>
      </c>
      <c r="Q20" s="475"/>
      <c r="R20" s="3"/>
      <c r="S20" s="4"/>
      <c r="T20" s="3"/>
      <c r="U20" s="3"/>
      <c r="V20" s="3"/>
      <c r="Y20" s="416"/>
    </row>
    <row r="21" spans="2:25">
      <c r="B21" s="472"/>
      <c r="C21" s="75" t="s">
        <v>56</v>
      </c>
      <c r="D21" s="45" t="s">
        <v>57</v>
      </c>
      <c r="E21" s="46">
        <v>4</v>
      </c>
      <c r="F21" s="210">
        <v>197900000</v>
      </c>
      <c r="G21" s="48">
        <v>196748440</v>
      </c>
      <c r="H21" s="49">
        <f>SUM(G21/G23*100)</f>
        <v>13.893491411669659</v>
      </c>
      <c r="I21" s="88">
        <v>10107530</v>
      </c>
      <c r="J21" s="47">
        <v>242499500</v>
      </c>
      <c r="K21" s="49">
        <f>SUM(J21/J23*100)</f>
        <v>19.087353147967821</v>
      </c>
      <c r="L21" s="50">
        <f t="shared" si="0"/>
        <v>45751060</v>
      </c>
      <c r="M21" s="51">
        <v>3280</v>
      </c>
      <c r="N21" s="52">
        <v>30</v>
      </c>
      <c r="O21" s="53">
        <f t="shared" si="1"/>
        <v>3310</v>
      </c>
      <c r="P21" s="54">
        <f t="shared" si="2"/>
        <v>117.23108595802189</v>
      </c>
      <c r="Q21" s="475"/>
      <c r="R21" s="3" t="s">
        <v>58</v>
      </c>
      <c r="S21" s="4">
        <v>5000000</v>
      </c>
      <c r="T21" s="3">
        <v>548</v>
      </c>
      <c r="U21" s="3">
        <v>9</v>
      </c>
      <c r="V21" s="7">
        <f>SUM(T21:U21)</f>
        <v>557</v>
      </c>
      <c r="Y21" s="416"/>
    </row>
    <row r="22" spans="2:25" ht="18" thickBot="1">
      <c r="B22" s="472"/>
      <c r="C22" s="75" t="s">
        <v>59</v>
      </c>
      <c r="D22" s="45" t="s">
        <v>41</v>
      </c>
      <c r="E22" s="46" t="s">
        <v>60</v>
      </c>
      <c r="F22" s="210">
        <v>55500000</v>
      </c>
      <c r="G22" s="48">
        <v>54444400</v>
      </c>
      <c r="H22" s="49">
        <f>SUM(G22/G23*100)</f>
        <v>3.8446190669339368</v>
      </c>
      <c r="I22" s="50">
        <v>2828843</v>
      </c>
      <c r="J22" s="47">
        <v>104732500</v>
      </c>
      <c r="K22" s="49">
        <f>SUM(J22/J23*100)</f>
        <v>8.2435890118104975</v>
      </c>
      <c r="L22" s="50">
        <f t="shared" si="0"/>
        <v>50288100</v>
      </c>
      <c r="M22" s="51">
        <v>2732</v>
      </c>
      <c r="N22" s="52">
        <v>68</v>
      </c>
      <c r="O22" s="53">
        <f t="shared" si="1"/>
        <v>2800</v>
      </c>
      <c r="P22" s="54">
        <f t="shared" si="2"/>
        <v>182.8646231888772</v>
      </c>
      <c r="Q22" s="475"/>
      <c r="R22" s="3"/>
      <c r="S22" s="4"/>
      <c r="T22" s="3"/>
      <c r="U22" s="3"/>
      <c r="V22" s="7"/>
      <c r="Y22" s="418"/>
    </row>
    <row r="23" spans="2:25" ht="18" thickBot="1">
      <c r="B23" s="466" t="s">
        <v>61</v>
      </c>
      <c r="C23" s="467"/>
      <c r="D23" s="468"/>
      <c r="E23" s="65">
        <f t="shared" ref="E23:O23" si="9">SUM(E6:E22)</f>
        <v>45</v>
      </c>
      <c r="F23" s="66">
        <f>SUM(F6:F22)</f>
        <v>1438000000</v>
      </c>
      <c r="G23" s="78">
        <f t="shared" si="9"/>
        <v>1416119492</v>
      </c>
      <c r="H23" s="67">
        <f t="shared" si="9"/>
        <v>102.42065582521995</v>
      </c>
      <c r="I23" s="68">
        <f t="shared" si="9"/>
        <v>54165265</v>
      </c>
      <c r="J23" s="66">
        <f t="shared" si="9"/>
        <v>1270472119</v>
      </c>
      <c r="K23" s="67">
        <f t="shared" si="9"/>
        <v>109.06198031554786</v>
      </c>
      <c r="L23" s="68">
        <f t="shared" si="9"/>
        <v>-145647373</v>
      </c>
      <c r="M23" s="69">
        <f t="shared" si="9"/>
        <v>35799</v>
      </c>
      <c r="N23" s="70">
        <f t="shared" si="9"/>
        <v>2437</v>
      </c>
      <c r="O23" s="71">
        <f t="shared" si="9"/>
        <v>38236</v>
      </c>
      <c r="P23" s="72">
        <f>J23/(G23+I23)*100</f>
        <v>86.409936099201502</v>
      </c>
      <c r="Q23" s="73">
        <f>J23/(G23+I23)*100</f>
        <v>86.409936099201502</v>
      </c>
      <c r="R23" s="3"/>
      <c r="S23" s="4"/>
      <c r="T23" s="3"/>
      <c r="U23" s="3"/>
      <c r="V23" s="3"/>
      <c r="Y23" s="74"/>
    </row>
    <row r="24" spans="2:25">
      <c r="O24" s="529">
        <f>O23*O25</f>
        <v>76472000</v>
      </c>
    </row>
    <row r="25" spans="2:25">
      <c r="G25" s="74">
        <f>SUM(G6:G14)</f>
        <v>797538692</v>
      </c>
      <c r="H25" s="74"/>
      <c r="I25" s="74">
        <f>SUM(I6:I14)</f>
        <v>11923314</v>
      </c>
      <c r="J25" s="74">
        <f>SUM(J6:J14)</f>
        <v>352448250</v>
      </c>
      <c r="O25">
        <v>2000</v>
      </c>
      <c r="Q25">
        <f>(J25/(G25+I25))*100</f>
        <v>43.541049164449603</v>
      </c>
    </row>
    <row r="26" spans="2:25">
      <c r="G26" s="74">
        <f>SUM(G16:G22)</f>
        <v>576174760</v>
      </c>
      <c r="H26" s="74"/>
      <c r="I26" s="74">
        <f>SUM(I16:I22)</f>
        <v>36777227</v>
      </c>
      <c r="J26" s="74">
        <f>SUM(J16:J22)</f>
        <v>872283869</v>
      </c>
      <c r="Q26">
        <f>(J26/(G26+I26))*100</f>
        <v>142.30867792259886</v>
      </c>
    </row>
    <row r="27" spans="2:25" ht="18" thickBot="1">
      <c r="H27" s="14"/>
      <c r="I27" s="6"/>
    </row>
    <row r="28" spans="2:25" ht="16.5" customHeight="1" thickBot="1">
      <c r="B28" s="481" t="s">
        <v>2</v>
      </c>
      <c r="C28" s="481"/>
      <c r="D28" s="481" t="s">
        <v>3</v>
      </c>
      <c r="E28" s="481" t="s">
        <v>4</v>
      </c>
      <c r="F28" s="481" t="s">
        <v>5</v>
      </c>
      <c r="G28" s="481" t="s">
        <v>6</v>
      </c>
      <c r="H28" s="481"/>
      <c r="I28" s="486" t="s">
        <v>7</v>
      </c>
      <c r="J28" s="481" t="s">
        <v>8</v>
      </c>
      <c r="K28" s="481"/>
      <c r="L28" s="486" t="s">
        <v>9</v>
      </c>
      <c r="M28" s="481" t="s">
        <v>10</v>
      </c>
      <c r="N28" s="481"/>
      <c r="O28" s="481"/>
      <c r="P28" s="482" t="s">
        <v>11</v>
      </c>
      <c r="Q28" s="484" t="s">
        <v>11</v>
      </c>
    </row>
    <row r="29" spans="2:25" ht="18" thickBot="1">
      <c r="B29" s="481"/>
      <c r="C29" s="481"/>
      <c r="D29" s="481"/>
      <c r="E29" s="481"/>
      <c r="F29" s="481"/>
      <c r="G29" s="94" t="s">
        <v>12</v>
      </c>
      <c r="H29" s="161" t="s">
        <v>13</v>
      </c>
      <c r="I29" s="486"/>
      <c r="J29" s="95" t="s">
        <v>14</v>
      </c>
      <c r="K29" s="95" t="s">
        <v>13</v>
      </c>
      <c r="L29" s="486"/>
      <c r="M29" s="94" t="s">
        <v>15</v>
      </c>
      <c r="N29" s="94" t="s">
        <v>16</v>
      </c>
      <c r="O29" s="94" t="s">
        <v>17</v>
      </c>
      <c r="P29" s="483"/>
      <c r="Q29" s="485"/>
    </row>
    <row r="30" spans="2:25" ht="18" thickBot="1">
      <c r="B30" s="96"/>
      <c r="C30" s="97" t="s">
        <v>62</v>
      </c>
      <c r="D30" s="89" t="s">
        <v>63</v>
      </c>
      <c r="E30" s="90">
        <v>1</v>
      </c>
      <c r="F30" s="91">
        <v>4150000</v>
      </c>
      <c r="G30" s="159">
        <v>4150000</v>
      </c>
      <c r="H30" s="92">
        <f>SUM(G30/F30*100)</f>
        <v>100</v>
      </c>
      <c r="I30" s="160">
        <v>625790</v>
      </c>
      <c r="J30" s="91">
        <v>15038000</v>
      </c>
      <c r="K30" s="92" t="e">
        <f>SUM(J30/J45*100)</f>
        <v>#DIV/0!</v>
      </c>
      <c r="L30" s="91">
        <f>SUM(J30-G30)</f>
        <v>10888000</v>
      </c>
      <c r="M30" s="93">
        <v>638</v>
      </c>
      <c r="N30" s="93">
        <v>16</v>
      </c>
      <c r="O30" s="93">
        <f>SUM(M30:N30)</f>
        <v>654</v>
      </c>
      <c r="P30" s="102">
        <f>J30/(G30+I30)*100</f>
        <v>314.87984186909392</v>
      </c>
      <c r="Q30" s="487">
        <f>AVERAGE(P30:P32)</f>
        <v>290.10665373631508</v>
      </c>
    </row>
    <row r="31" spans="2:25" ht="18" thickBot="1">
      <c r="B31" s="96"/>
      <c r="C31" s="97" t="s">
        <v>64</v>
      </c>
      <c r="D31" s="89" t="s">
        <v>65</v>
      </c>
      <c r="E31" s="90">
        <v>2</v>
      </c>
      <c r="F31" s="91">
        <v>13700000</v>
      </c>
      <c r="G31" s="159">
        <v>13700000</v>
      </c>
      <c r="H31" s="92">
        <f>SUM(G31/F31*100)</f>
        <v>100</v>
      </c>
      <c r="I31" s="160">
        <v>1636437</v>
      </c>
      <c r="J31" s="91">
        <v>50115000</v>
      </c>
      <c r="K31" s="92" t="e">
        <f>SUM(J31/J46*100)</f>
        <v>#DIV/0!</v>
      </c>
      <c r="L31" s="91">
        <f>SUM(J31-G31)</f>
        <v>36415000</v>
      </c>
      <c r="M31" s="93">
        <v>1892</v>
      </c>
      <c r="N31" s="93">
        <v>28</v>
      </c>
      <c r="O31" s="93">
        <f>SUM(M31:N31)</f>
        <v>1920</v>
      </c>
      <c r="P31" s="102">
        <f>J31/(G31+I31)*100</f>
        <v>326.77081384678854</v>
      </c>
      <c r="Q31" s="488"/>
    </row>
    <row r="32" spans="2:25" ht="18" thickBot="1">
      <c r="B32" s="96"/>
      <c r="C32" s="97" t="s">
        <v>66</v>
      </c>
      <c r="D32" s="89" t="s">
        <v>53</v>
      </c>
      <c r="E32" s="90">
        <v>1</v>
      </c>
      <c r="F32" s="91">
        <v>7362000</v>
      </c>
      <c r="G32" s="159">
        <v>3003000</v>
      </c>
      <c r="H32" s="92">
        <f>SUM(G32/F32*100)</f>
        <v>40.790546047269764</v>
      </c>
      <c r="I32" s="160">
        <v>217371</v>
      </c>
      <c r="J32" s="91">
        <v>7364000</v>
      </c>
      <c r="K32" s="92" t="e">
        <f>SUM(J32/J47*100)</f>
        <v>#DIV/0!</v>
      </c>
      <c r="L32" s="91">
        <f>SUM(J32-G32)</f>
        <v>4361000</v>
      </c>
      <c r="M32" s="93">
        <v>331</v>
      </c>
      <c r="N32" s="93">
        <v>57</v>
      </c>
      <c r="O32" s="93">
        <f>SUM(M32:N32)</f>
        <v>388</v>
      </c>
      <c r="P32" s="102">
        <f>J32/(G32+I32)*100</f>
        <v>228.66930549306278</v>
      </c>
      <c r="Q32" s="488"/>
    </row>
    <row r="33" spans="2:27" ht="18" thickBot="1"/>
    <row r="34" spans="2:27" ht="18" thickBot="1">
      <c r="B34" s="481" t="s">
        <v>2</v>
      </c>
      <c r="C34" s="481"/>
      <c r="D34" s="481" t="s">
        <v>3</v>
      </c>
      <c r="E34" s="481" t="s">
        <v>4</v>
      </c>
      <c r="F34" s="481" t="s">
        <v>5</v>
      </c>
      <c r="G34" s="481" t="s">
        <v>6</v>
      </c>
      <c r="H34" s="481"/>
      <c r="I34" s="486" t="s">
        <v>7</v>
      </c>
      <c r="J34" s="481" t="s">
        <v>8</v>
      </c>
      <c r="K34" s="481"/>
      <c r="L34" s="486" t="s">
        <v>9</v>
      </c>
      <c r="M34" s="481" t="s">
        <v>10</v>
      </c>
      <c r="N34" s="481"/>
      <c r="O34" s="481"/>
      <c r="P34" s="482" t="s">
        <v>11</v>
      </c>
      <c r="Q34" s="484" t="s">
        <v>11</v>
      </c>
    </row>
    <row r="35" spans="2:27" ht="18" thickBot="1">
      <c r="B35" s="481"/>
      <c r="C35" s="481"/>
      <c r="D35" s="481"/>
      <c r="E35" s="481"/>
      <c r="F35" s="481"/>
      <c r="G35" s="94" t="s">
        <v>12</v>
      </c>
      <c r="H35" s="95" t="s">
        <v>13</v>
      </c>
      <c r="I35" s="486"/>
      <c r="J35" s="95" t="s">
        <v>14</v>
      </c>
      <c r="K35" s="95" t="s">
        <v>13</v>
      </c>
      <c r="L35" s="486"/>
      <c r="M35" s="94" t="s">
        <v>15</v>
      </c>
      <c r="N35" s="94" t="s">
        <v>16</v>
      </c>
      <c r="O35" s="94" t="s">
        <v>17</v>
      </c>
      <c r="P35" s="483"/>
      <c r="Q35" s="485"/>
      <c r="X35" s="2" t="s">
        <v>67</v>
      </c>
      <c r="Y35" s="2" t="s">
        <v>68</v>
      </c>
      <c r="Z35" s="2" t="s">
        <v>69</v>
      </c>
      <c r="AA35" s="2" t="s">
        <v>70</v>
      </c>
    </row>
    <row r="36" spans="2:27" ht="18" thickBot="1">
      <c r="B36" s="96"/>
      <c r="C36" s="97" t="s">
        <v>71</v>
      </c>
      <c r="D36" s="89" t="s">
        <v>72</v>
      </c>
      <c r="E36" s="90">
        <v>1</v>
      </c>
      <c r="F36" s="91">
        <v>8600000</v>
      </c>
      <c r="G36" s="91">
        <v>8414640</v>
      </c>
      <c r="H36" s="92" t="e">
        <f>SUM(G36/G51*100)</f>
        <v>#DIV/0!</v>
      </c>
      <c r="I36" s="91">
        <v>161700</v>
      </c>
      <c r="J36" s="91">
        <f>AA36</f>
        <v>5998000</v>
      </c>
      <c r="K36" s="92" t="e">
        <f>SUM(J36/J51*100)</f>
        <v>#DIV/0!</v>
      </c>
      <c r="L36" s="91">
        <f>SUM(J36-G36)</f>
        <v>-2416640</v>
      </c>
      <c r="M36" s="93">
        <v>309</v>
      </c>
      <c r="N36" s="93">
        <v>31</v>
      </c>
      <c r="O36" s="93">
        <f>SUM(M36:N36)</f>
        <v>340</v>
      </c>
      <c r="P36" s="102">
        <f>J36/(G36+I36)*100</f>
        <v>69.936592998878311</v>
      </c>
      <c r="X36" s="418">
        <v>6018000</v>
      </c>
      <c r="Y36" s="418">
        <v>600000</v>
      </c>
      <c r="Z36" s="419">
        <f>5*4000</f>
        <v>20000</v>
      </c>
      <c r="AA36" s="419">
        <f t="shared" ref="AA36:AA41" si="10">X36-Z36</f>
        <v>5998000</v>
      </c>
    </row>
    <row r="37" spans="2:27" ht="18" thickBot="1">
      <c r="B37" s="96"/>
      <c r="C37" s="97" t="s">
        <v>73</v>
      </c>
      <c r="D37" s="89" t="s">
        <v>63</v>
      </c>
      <c r="E37" s="90">
        <v>1</v>
      </c>
      <c r="F37" s="91">
        <v>9600000</v>
      </c>
      <c r="G37" s="91">
        <v>9040000</v>
      </c>
      <c r="H37" s="92"/>
      <c r="I37" s="91">
        <v>265716</v>
      </c>
      <c r="J37" s="91">
        <f>AA37</f>
        <v>8344000</v>
      </c>
      <c r="K37" s="92" t="e">
        <f>SUM(J37/J52*100)</f>
        <v>#DIV/0!</v>
      </c>
      <c r="L37" s="91">
        <f>SUM(J37-G37)</f>
        <v>-696000</v>
      </c>
      <c r="M37" s="93">
        <v>405</v>
      </c>
      <c r="N37" s="93">
        <v>34</v>
      </c>
      <c r="O37" s="93">
        <f>SUM(M37:N37)</f>
        <v>439</v>
      </c>
      <c r="P37" s="102">
        <f>J37/(G37+I37)*100</f>
        <v>89.66531968093588</v>
      </c>
      <c r="X37" s="418">
        <v>8784000</v>
      </c>
      <c r="Y37" s="418">
        <f>82/2*40000</f>
        <v>1640000</v>
      </c>
      <c r="Z37" s="419">
        <f>110*4000</f>
        <v>440000</v>
      </c>
      <c r="AA37" s="419">
        <f t="shared" si="10"/>
        <v>8344000</v>
      </c>
    </row>
    <row r="38" spans="2:27" ht="18" thickBot="1">
      <c r="B38" s="96"/>
      <c r="C38" s="97" t="s">
        <v>74</v>
      </c>
      <c r="D38" s="89" t="s">
        <v>65</v>
      </c>
      <c r="E38" s="90">
        <v>1</v>
      </c>
      <c r="F38" s="91">
        <v>8600000</v>
      </c>
      <c r="G38" s="91">
        <v>8157300</v>
      </c>
      <c r="H38" s="92" t="e">
        <f>SUM(G38/G52*100)</f>
        <v>#DIV/0!</v>
      </c>
      <c r="I38" s="91">
        <v>196548</v>
      </c>
      <c r="J38" s="91">
        <f>AA38</f>
        <v>6952000</v>
      </c>
      <c r="K38" s="92" t="e">
        <f>SUM(J38/J52*100)</f>
        <v>#DIV/0!</v>
      </c>
      <c r="L38" s="91">
        <f>SUM(J38-G38)</f>
        <v>-1205300</v>
      </c>
      <c r="M38" s="93">
        <v>384</v>
      </c>
      <c r="N38" s="93">
        <v>23</v>
      </c>
      <c r="O38" s="93">
        <f>SUM(M38:N38)</f>
        <v>407</v>
      </c>
      <c r="P38" s="102">
        <f>J38/(G38+I38)*100</f>
        <v>83.219134463543028</v>
      </c>
      <c r="X38" s="418">
        <v>6992000</v>
      </c>
      <c r="Y38" s="418">
        <f>20/2*40000</f>
        <v>400000</v>
      </c>
      <c r="Z38" s="418">
        <f>10*4000</f>
        <v>40000</v>
      </c>
      <c r="AA38" s="419">
        <f t="shared" si="10"/>
        <v>6952000</v>
      </c>
    </row>
    <row r="39" spans="2:27" ht="18" thickBot="1">
      <c r="B39" s="96"/>
      <c r="C39" s="97" t="s">
        <v>75</v>
      </c>
      <c r="D39" s="89" t="s">
        <v>53</v>
      </c>
      <c r="E39" s="90">
        <v>1</v>
      </c>
      <c r="F39" s="91">
        <v>8600000</v>
      </c>
      <c r="G39" s="91">
        <v>8237800</v>
      </c>
      <c r="H39" s="92"/>
      <c r="I39" s="91">
        <v>289344</v>
      </c>
      <c r="J39" s="91">
        <f>AA39</f>
        <v>8790000</v>
      </c>
      <c r="K39" s="92" t="e">
        <f>SUM(J39/J54*100)</f>
        <v>#DIV/0!</v>
      </c>
      <c r="L39" s="91">
        <f>SUM(J39-G39)</f>
        <v>552200</v>
      </c>
      <c r="M39" s="93">
        <v>503</v>
      </c>
      <c r="N39" s="93">
        <v>33</v>
      </c>
      <c r="O39" s="93">
        <f>SUM(M39:N39)</f>
        <v>536</v>
      </c>
      <c r="P39" s="102">
        <f>J39/(G39+I39)*100</f>
        <v>103.08257958350416</v>
      </c>
      <c r="X39" s="418">
        <v>8962000</v>
      </c>
      <c r="Y39" s="418">
        <f>32/2*40000</f>
        <v>640000</v>
      </c>
      <c r="Z39" s="418">
        <f>43*4000</f>
        <v>172000</v>
      </c>
      <c r="AA39" s="419">
        <f t="shared" si="10"/>
        <v>8790000</v>
      </c>
    </row>
    <row r="40" spans="2:27" ht="18" thickBot="1">
      <c r="B40" s="96"/>
      <c r="C40" s="97" t="s">
        <v>76</v>
      </c>
      <c r="D40" s="89" t="s">
        <v>41</v>
      </c>
      <c r="E40" s="90">
        <v>1</v>
      </c>
      <c r="F40" s="91">
        <v>8600000</v>
      </c>
      <c r="G40" s="91">
        <v>8556300</v>
      </c>
      <c r="H40" s="92" t="e">
        <f>SUM(G40/G53*100)</f>
        <v>#DIV/0!</v>
      </c>
      <c r="I40" s="91">
        <v>471416</v>
      </c>
      <c r="J40" s="91">
        <f>AA40</f>
        <v>15656000</v>
      </c>
      <c r="K40" s="92" t="e">
        <f>SUM(J40/J53*100)</f>
        <v>#DIV/0!</v>
      </c>
      <c r="L40" s="91">
        <f>SUM(J40-G40)</f>
        <v>7099700</v>
      </c>
      <c r="M40" s="93">
        <v>899</v>
      </c>
      <c r="N40" s="93">
        <v>10</v>
      </c>
      <c r="O40" s="93">
        <f>SUM(M40:N40)</f>
        <v>909</v>
      </c>
      <c r="P40" s="102">
        <f>J40/(G40+I40)*100</f>
        <v>173.42149442893418</v>
      </c>
      <c r="X40" s="418">
        <v>15656000</v>
      </c>
      <c r="Y40" s="418">
        <f>40/2*40000</f>
        <v>800000</v>
      </c>
      <c r="AA40" s="419">
        <f t="shared" si="10"/>
        <v>15656000</v>
      </c>
    </row>
    <row r="41" spans="2:27">
      <c r="D41" s="74"/>
      <c r="E41" s="103">
        <f>SUM(E36:E40)</f>
        <v>5</v>
      </c>
      <c r="F41" s="74">
        <f>SUM(F36:F40)</f>
        <v>44000000</v>
      </c>
      <c r="G41" s="74">
        <f>SUM(G36:G40)</f>
        <v>42406040</v>
      </c>
      <c r="I41" s="74">
        <f>SUM(I36:I40)</f>
        <v>1384724</v>
      </c>
      <c r="J41" s="74">
        <f>SUM(J36:J40)</f>
        <v>45740000</v>
      </c>
      <c r="L41" s="74">
        <f>SUM(L36:L40)</f>
        <v>3333960</v>
      </c>
      <c r="M41" s="103">
        <f>SUM(M36:M40)</f>
        <v>2500</v>
      </c>
      <c r="N41" s="103">
        <f>SUM(N36:N40)</f>
        <v>131</v>
      </c>
      <c r="O41" s="103">
        <f>SUM(O36:O40)</f>
        <v>2631</v>
      </c>
      <c r="X41" s="418">
        <f>SUM(X36:X40)</f>
        <v>46412000</v>
      </c>
      <c r="Y41" s="418">
        <f>SUM(Y36:Y40)</f>
        <v>4080000</v>
      </c>
      <c r="Z41" s="418">
        <f>SUM(Z36:Z40)</f>
        <v>672000</v>
      </c>
      <c r="AA41" s="419">
        <f t="shared" si="10"/>
        <v>45740000</v>
      </c>
    </row>
    <row r="42" spans="2:27">
      <c r="M42" s="2"/>
      <c r="N42" s="2"/>
      <c r="O42" s="2"/>
      <c r="P42" s="2"/>
    </row>
    <row r="43" spans="2:27">
      <c r="M43" s="2"/>
      <c r="N43" s="2"/>
      <c r="O43" s="2"/>
      <c r="P43" s="2"/>
    </row>
  </sheetData>
  <mergeCells count="40">
    <mergeCell ref="P34:P35"/>
    <mergeCell ref="Q34:Q35"/>
    <mergeCell ref="Q30:Q32"/>
    <mergeCell ref="B34:C35"/>
    <mergeCell ref="D34:D35"/>
    <mergeCell ref="E34:E35"/>
    <mergeCell ref="F34:F35"/>
    <mergeCell ref="G34:H34"/>
    <mergeCell ref="I34:I35"/>
    <mergeCell ref="J34:K34"/>
    <mergeCell ref="L34:L35"/>
    <mergeCell ref="M34:O34"/>
    <mergeCell ref="Q28:Q29"/>
    <mergeCell ref="B23:D23"/>
    <mergeCell ref="B28:C29"/>
    <mergeCell ref="D28:D29"/>
    <mergeCell ref="E28:E29"/>
    <mergeCell ref="F28:F29"/>
    <mergeCell ref="G28:H28"/>
    <mergeCell ref="I28:I29"/>
    <mergeCell ref="J28:K28"/>
    <mergeCell ref="L28:L29"/>
    <mergeCell ref="M28:O28"/>
    <mergeCell ref="P28:P29"/>
    <mergeCell ref="Q4:Q5"/>
    <mergeCell ref="B6:B14"/>
    <mergeCell ref="Q6:Q14"/>
    <mergeCell ref="B16:B22"/>
    <mergeCell ref="Q16:Q22"/>
    <mergeCell ref="C2:P2"/>
    <mergeCell ref="B4:C5"/>
    <mergeCell ref="D4:D5"/>
    <mergeCell ref="E4:E5"/>
    <mergeCell ref="F4:F5"/>
    <mergeCell ref="G4:H4"/>
    <mergeCell ref="I4:I5"/>
    <mergeCell ref="J4:K4"/>
    <mergeCell ref="L4:L5"/>
    <mergeCell ref="M4:O4"/>
    <mergeCell ref="P4:P5"/>
  </mergeCells>
  <phoneticPr fontId="2" type="noConversion"/>
  <pageMargins left="0.7" right="0.7" top="0.75" bottom="0.75" header="0.3" footer="0.3"/>
  <pageSetup paperSize="8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N28"/>
  <sheetViews>
    <sheetView workbookViewId="0">
      <selection activeCell="F24" sqref="F24"/>
    </sheetView>
  </sheetViews>
  <sheetFormatPr defaultColWidth="9" defaultRowHeight="17.399999999999999"/>
  <cols>
    <col min="1" max="1" width="4.09765625" customWidth="1"/>
    <col min="2" max="2" width="31.5" style="1" bestFit="1" customWidth="1"/>
    <col min="3" max="4" width="12.8984375" style="2" bestFit="1" customWidth="1"/>
    <col min="5" max="5" width="12.09765625" style="2" bestFit="1" customWidth="1"/>
    <col min="6" max="6" width="10.59765625" style="2" bestFit="1" customWidth="1"/>
    <col min="7" max="7" width="12.8984375" style="2" bestFit="1" customWidth="1"/>
    <col min="8" max="8" width="12.69921875" style="2" customWidth="1"/>
    <col min="9" max="9" width="12.8984375" style="2" bestFit="1" customWidth="1"/>
    <col min="10" max="12" width="9.19921875" bestFit="1" customWidth="1"/>
    <col min="13" max="13" width="7.59765625" customWidth="1"/>
    <col min="14" max="14" width="9" bestFit="1" customWidth="1"/>
  </cols>
  <sheetData>
    <row r="1" spans="2:14" ht="35.1" customHeight="1">
      <c r="B1" s="422" t="s">
        <v>77</v>
      </c>
      <c r="C1" s="422"/>
      <c r="D1" s="422"/>
      <c r="E1" s="422"/>
      <c r="F1" s="422"/>
      <c r="G1" s="423"/>
      <c r="H1" s="423"/>
      <c r="I1" s="423"/>
      <c r="J1" s="423"/>
      <c r="K1" s="423"/>
      <c r="L1" s="423"/>
      <c r="M1" s="423"/>
    </row>
    <row r="2" spans="2:14" ht="19.8" thickBot="1">
      <c r="B2" s="311" t="s">
        <v>78</v>
      </c>
      <c r="C2"/>
      <c r="D2"/>
      <c r="E2"/>
      <c r="F2"/>
      <c r="G2"/>
      <c r="H2"/>
      <c r="I2"/>
      <c r="M2" s="310" t="s">
        <v>1</v>
      </c>
    </row>
    <row r="3" spans="2:14" ht="17.399999999999999" customHeight="1">
      <c r="B3" s="420" t="s">
        <v>2</v>
      </c>
      <c r="C3" s="420" t="s">
        <v>5</v>
      </c>
      <c r="D3" s="424" t="s">
        <v>6</v>
      </c>
      <c r="E3" s="425"/>
      <c r="F3" s="426" t="s">
        <v>7</v>
      </c>
      <c r="G3" s="424" t="s">
        <v>8</v>
      </c>
      <c r="H3" s="428"/>
      <c r="I3" s="429" t="s">
        <v>9</v>
      </c>
      <c r="J3" s="431" t="s">
        <v>79</v>
      </c>
      <c r="K3" s="433" t="s">
        <v>80</v>
      </c>
      <c r="L3" s="426" t="s">
        <v>81</v>
      </c>
      <c r="M3" s="420" t="s">
        <v>11</v>
      </c>
      <c r="N3" s="9"/>
    </row>
    <row r="4" spans="2:14" ht="17.399999999999999" customHeight="1" thickBot="1">
      <c r="B4" s="421"/>
      <c r="C4" s="421"/>
      <c r="D4" s="363" t="s">
        <v>12</v>
      </c>
      <c r="E4" s="335" t="s">
        <v>13</v>
      </c>
      <c r="F4" s="427"/>
      <c r="G4" s="373" t="s">
        <v>14</v>
      </c>
      <c r="H4" s="374" t="s">
        <v>13</v>
      </c>
      <c r="I4" s="430"/>
      <c r="J4" s="432"/>
      <c r="K4" s="434"/>
      <c r="L4" s="427"/>
      <c r="M4" s="421"/>
      <c r="N4" s="9"/>
    </row>
    <row r="5" spans="2:14" ht="21" customHeight="1">
      <c r="B5" s="342" t="s">
        <v>82</v>
      </c>
      <c r="C5" s="361">
        <v>80000000</v>
      </c>
      <c r="D5" s="364">
        <v>73299453</v>
      </c>
      <c r="E5" s="336">
        <f>SUM(D5/D14)</f>
        <v>0.23152978225822871</v>
      </c>
      <c r="F5" s="365">
        <v>1087878</v>
      </c>
      <c r="G5" s="375">
        <v>32936000</v>
      </c>
      <c r="H5" s="376">
        <f>SUM(G5/G14)</f>
        <v>0.48662145590473238</v>
      </c>
      <c r="I5" s="370">
        <f t="shared" ref="I5:I13" si="0">SUM(G5-D5)</f>
        <v>-40363453</v>
      </c>
      <c r="J5" s="352">
        <v>5271</v>
      </c>
      <c r="K5" s="337">
        <v>589</v>
      </c>
      <c r="L5" s="353">
        <f>SUM(J5:K5)</f>
        <v>5860</v>
      </c>
      <c r="M5" s="347">
        <f>G5/(D5+F5)</f>
        <v>0.44276356682295809</v>
      </c>
      <c r="N5" s="8"/>
    </row>
    <row r="6" spans="2:14" ht="21" customHeight="1">
      <c r="B6" s="343" t="s">
        <v>83</v>
      </c>
      <c r="C6" s="312">
        <v>14300000</v>
      </c>
      <c r="D6" s="313">
        <v>13643591</v>
      </c>
      <c r="E6" s="331">
        <f>SUM(D6/D14)</f>
        <v>4.3095787542238945E-2</v>
      </c>
      <c r="F6" s="366">
        <v>80718</v>
      </c>
      <c r="G6" s="313">
        <v>2446000</v>
      </c>
      <c r="H6" s="314">
        <f>SUM(G6/G14)</f>
        <v>3.6139060029845016E-2</v>
      </c>
      <c r="I6" s="371">
        <f t="shared" si="0"/>
        <v>-11197591</v>
      </c>
      <c r="J6" s="354">
        <v>1063</v>
      </c>
      <c r="K6" s="333">
        <v>96</v>
      </c>
      <c r="L6" s="355">
        <f t="shared" ref="L6:L11" si="1">SUM(J6:K6)</f>
        <v>1159</v>
      </c>
      <c r="M6" s="348">
        <f t="shared" ref="M6:M14" si="2">G6/(D6+F6)</f>
        <v>0.17822390912358502</v>
      </c>
      <c r="N6" s="8"/>
    </row>
    <row r="7" spans="2:14" ht="21" customHeight="1">
      <c r="B7" s="343" t="s">
        <v>84</v>
      </c>
      <c r="C7" s="312">
        <v>46000000</v>
      </c>
      <c r="D7" s="313">
        <v>45321178</v>
      </c>
      <c r="E7" s="332">
        <f>SUM(D7/D14)</f>
        <v>0.1431552630280396</v>
      </c>
      <c r="F7" s="366">
        <v>315810</v>
      </c>
      <c r="G7" s="313">
        <v>9570000</v>
      </c>
      <c r="H7" s="314">
        <f>SUM(G7/G14)</f>
        <v>0.14139444173573867</v>
      </c>
      <c r="I7" s="371">
        <f t="shared" si="0"/>
        <v>-35751178</v>
      </c>
      <c r="J7" s="354">
        <v>3190</v>
      </c>
      <c r="K7" s="333">
        <v>111</v>
      </c>
      <c r="L7" s="356">
        <f t="shared" si="1"/>
        <v>3301</v>
      </c>
      <c r="M7" s="349">
        <f t="shared" si="2"/>
        <v>0.20969832627867555</v>
      </c>
      <c r="N7" s="8"/>
    </row>
    <row r="8" spans="2:14" ht="21" customHeight="1">
      <c r="B8" s="343" t="s">
        <v>85</v>
      </c>
      <c r="C8" s="312">
        <v>8600000</v>
      </c>
      <c r="D8" s="313">
        <v>8577400</v>
      </c>
      <c r="E8" s="332">
        <f>SUM(D8/D14)</f>
        <v>2.7093292965525009E-2</v>
      </c>
      <c r="F8" s="366"/>
      <c r="G8" s="315">
        <v>0</v>
      </c>
      <c r="H8" s="314">
        <f>SUM(G8/G14*100)</f>
        <v>0</v>
      </c>
      <c r="I8" s="371">
        <f t="shared" si="0"/>
        <v>-8577400</v>
      </c>
      <c r="J8" s="354">
        <v>0</v>
      </c>
      <c r="K8" s="333">
        <v>27358</v>
      </c>
      <c r="L8" s="356">
        <f t="shared" si="1"/>
        <v>27358</v>
      </c>
      <c r="M8" s="348">
        <f t="shared" si="2"/>
        <v>0</v>
      </c>
      <c r="N8" s="8"/>
    </row>
    <row r="9" spans="2:14" ht="21" customHeight="1">
      <c r="B9" s="344" t="s">
        <v>86</v>
      </c>
      <c r="C9" s="312">
        <v>107000000</v>
      </c>
      <c r="D9" s="313">
        <v>104915924</v>
      </c>
      <c r="E9" s="332">
        <f>SUM(D9/D14)</f>
        <v>0.33139621163531563</v>
      </c>
      <c r="F9" s="366">
        <v>545160</v>
      </c>
      <c r="G9" s="313">
        <v>16692000</v>
      </c>
      <c r="H9" s="314">
        <f>SUM(G9/G14)</f>
        <v>0.24662027392402819</v>
      </c>
      <c r="I9" s="371">
        <f t="shared" si="0"/>
        <v>-88223924</v>
      </c>
      <c r="J9" s="354">
        <v>3295</v>
      </c>
      <c r="K9" s="333">
        <v>202</v>
      </c>
      <c r="L9" s="355">
        <f t="shared" si="1"/>
        <v>3497</v>
      </c>
      <c r="M9" s="348">
        <f t="shared" si="2"/>
        <v>0.15827639321439177</v>
      </c>
      <c r="N9" s="8"/>
    </row>
    <row r="10" spans="2:14" ht="21" customHeight="1">
      <c r="B10" s="343" t="s">
        <v>87</v>
      </c>
      <c r="C10" s="312">
        <v>12000000</v>
      </c>
      <c r="D10" s="313">
        <v>11001442</v>
      </c>
      <c r="E10" s="334">
        <f>D10/D14</f>
        <v>3.4750074748668758E-2</v>
      </c>
      <c r="F10" s="366">
        <v>18282</v>
      </c>
      <c r="G10" s="377">
        <v>554000</v>
      </c>
      <c r="H10" s="314">
        <f>SUM(G10/G14)</f>
        <v>8.1852163763426571E-3</v>
      </c>
      <c r="I10" s="371">
        <f t="shared" si="0"/>
        <v>-10447442</v>
      </c>
      <c r="J10" s="354">
        <v>277</v>
      </c>
      <c r="K10" s="333">
        <v>83</v>
      </c>
      <c r="L10" s="355">
        <f t="shared" si="1"/>
        <v>360</v>
      </c>
      <c r="M10" s="348">
        <f t="shared" si="2"/>
        <v>5.0273491423197168E-2</v>
      </c>
      <c r="N10" s="8"/>
    </row>
    <row r="11" spans="2:14" ht="21" customHeight="1">
      <c r="B11" s="344" t="s">
        <v>88</v>
      </c>
      <c r="C11" s="312">
        <v>24000000</v>
      </c>
      <c r="D11" s="313">
        <v>23508800</v>
      </c>
      <c r="E11" s="332">
        <f>SUM(D11/D14)</f>
        <v>7.4256861714264738E-2</v>
      </c>
      <c r="F11" s="366">
        <v>0</v>
      </c>
      <c r="G11" s="313">
        <v>0</v>
      </c>
      <c r="H11" s="314">
        <f>SUM(G11/G14*100)</f>
        <v>0</v>
      </c>
      <c r="I11" s="371">
        <f t="shared" si="0"/>
        <v>-23508800</v>
      </c>
      <c r="J11" s="354">
        <v>0</v>
      </c>
      <c r="K11" s="333">
        <v>1916</v>
      </c>
      <c r="L11" s="355">
        <f t="shared" si="1"/>
        <v>1916</v>
      </c>
      <c r="M11" s="348">
        <f t="shared" si="2"/>
        <v>0</v>
      </c>
      <c r="N11" s="8"/>
    </row>
    <row r="12" spans="2:14" ht="21" customHeight="1">
      <c r="B12" s="344" t="s">
        <v>89</v>
      </c>
      <c r="C12" s="312">
        <v>40750000</v>
      </c>
      <c r="D12" s="313">
        <v>19468310</v>
      </c>
      <c r="E12" s="332">
        <f>SUM(D12/D14)</f>
        <v>6.1494232095234011E-2</v>
      </c>
      <c r="F12" s="366"/>
      <c r="G12" s="313">
        <v>2272000</v>
      </c>
      <c r="H12" s="314">
        <f>SUM(G12/G14)</f>
        <v>3.3568251998286128E-2</v>
      </c>
      <c r="I12" s="371">
        <f>SUM(G12-D12)</f>
        <v>-17196310</v>
      </c>
      <c r="J12" s="354">
        <v>1136</v>
      </c>
      <c r="K12" s="333">
        <v>218</v>
      </c>
      <c r="L12" s="355">
        <f>SUM(J12:K12)</f>
        <v>1354</v>
      </c>
      <c r="M12" s="348">
        <f t="shared" si="2"/>
        <v>0.11670247699980121</v>
      </c>
      <c r="N12" s="8"/>
    </row>
    <row r="13" spans="2:14" ht="21" customHeight="1" thickBot="1">
      <c r="B13" s="345" t="s">
        <v>90</v>
      </c>
      <c r="C13" s="362">
        <v>25030000</v>
      </c>
      <c r="D13" s="367">
        <v>16851480</v>
      </c>
      <c r="E13" s="338">
        <f>SUM(D13/D14)</f>
        <v>5.3228494012484598E-2</v>
      </c>
      <c r="F13" s="368"/>
      <c r="G13" s="367">
        <v>3213000</v>
      </c>
      <c r="H13" s="378">
        <f>SUM(G13/G14)</f>
        <v>4.7471300031026994E-2</v>
      </c>
      <c r="I13" s="372">
        <f t="shared" si="0"/>
        <v>-13638480</v>
      </c>
      <c r="J13" s="357">
        <v>1071</v>
      </c>
      <c r="K13" s="339">
        <v>159</v>
      </c>
      <c r="L13" s="358">
        <f t="shared" ref="L13" si="3">SUM(J13:K13)</f>
        <v>1230</v>
      </c>
      <c r="M13" s="350">
        <f t="shared" si="2"/>
        <v>0.19066574567931124</v>
      </c>
      <c r="N13" s="8"/>
    </row>
    <row r="14" spans="2:14" ht="21" customHeight="1" thickBot="1">
      <c r="B14" s="346" t="s">
        <v>17</v>
      </c>
      <c r="C14" s="328">
        <f t="shared" ref="C14:L14" si="4">SUM(C5:C13)</f>
        <v>357680000</v>
      </c>
      <c r="D14" s="329">
        <f t="shared" si="4"/>
        <v>316587578</v>
      </c>
      <c r="E14" s="340">
        <f>SUM(E5:E13)</f>
        <v>0.99999999999999989</v>
      </c>
      <c r="F14" s="369">
        <f t="shared" si="4"/>
        <v>2047848</v>
      </c>
      <c r="G14" s="329">
        <f t="shared" si="4"/>
        <v>67683000</v>
      </c>
      <c r="H14" s="379">
        <f t="shared" si="4"/>
        <v>1</v>
      </c>
      <c r="I14" s="330">
        <f t="shared" si="4"/>
        <v>-248904578</v>
      </c>
      <c r="J14" s="359">
        <f t="shared" si="4"/>
        <v>15303</v>
      </c>
      <c r="K14" s="341">
        <f t="shared" si="4"/>
        <v>30732</v>
      </c>
      <c r="L14" s="360">
        <f t="shared" si="4"/>
        <v>46035</v>
      </c>
      <c r="M14" s="351">
        <f t="shared" si="2"/>
        <v>0.21241517570616897</v>
      </c>
      <c r="N14" s="7"/>
    </row>
    <row r="16" spans="2:14" ht="19.8" thickBot="1">
      <c r="B16" s="311" t="s">
        <v>91</v>
      </c>
    </row>
    <row r="17" spans="2:13">
      <c r="B17" s="435" t="s">
        <v>2</v>
      </c>
      <c r="C17" s="437" t="s">
        <v>5</v>
      </c>
      <c r="D17" s="439" t="s">
        <v>6</v>
      </c>
      <c r="E17" s="440"/>
      <c r="F17" s="441" t="s">
        <v>92</v>
      </c>
      <c r="G17" s="439" t="s">
        <v>8</v>
      </c>
      <c r="H17" s="440"/>
      <c r="I17" s="443" t="s">
        <v>9</v>
      </c>
      <c r="J17" s="445" t="s">
        <v>93</v>
      </c>
      <c r="K17" s="447" t="s">
        <v>94</v>
      </c>
      <c r="L17" s="437" t="s">
        <v>17</v>
      </c>
      <c r="M17" s="449" t="s">
        <v>11</v>
      </c>
    </row>
    <row r="18" spans="2:13" ht="18" thickBot="1">
      <c r="B18" s="436"/>
      <c r="C18" s="438"/>
      <c r="D18" s="15" t="s">
        <v>12</v>
      </c>
      <c r="E18" s="10" t="s">
        <v>95</v>
      </c>
      <c r="F18" s="442"/>
      <c r="G18" s="11" t="s">
        <v>96</v>
      </c>
      <c r="H18" s="12" t="s">
        <v>95</v>
      </c>
      <c r="I18" s="444"/>
      <c r="J18" s="446"/>
      <c r="K18" s="448"/>
      <c r="L18" s="438"/>
      <c r="M18" s="450"/>
    </row>
    <row r="19" spans="2:13" ht="18" thickTop="1">
      <c r="B19" s="24" t="s">
        <v>82</v>
      </c>
      <c r="C19" s="121">
        <v>80000000</v>
      </c>
      <c r="D19" s="135">
        <v>73299453</v>
      </c>
      <c r="E19" s="145">
        <v>23.152978225822871</v>
      </c>
      <c r="F19" s="122">
        <v>1087878</v>
      </c>
      <c r="G19" s="144">
        <v>32936000</v>
      </c>
      <c r="H19" s="145">
        <v>48.662145590473237</v>
      </c>
      <c r="I19" s="121">
        <v>-40363453</v>
      </c>
      <c r="J19" s="136">
        <v>5271</v>
      </c>
      <c r="K19" s="123">
        <v>589</v>
      </c>
      <c r="L19" s="146">
        <v>5860</v>
      </c>
      <c r="M19" s="150">
        <v>44.933486747847901</v>
      </c>
    </row>
    <row r="20" spans="2:13">
      <c r="B20" s="26" t="s">
        <v>83</v>
      </c>
      <c r="C20" s="128">
        <v>14300000</v>
      </c>
      <c r="D20" s="137">
        <v>13643591</v>
      </c>
      <c r="E20" s="129">
        <v>4.3095787542238941</v>
      </c>
      <c r="F20" s="128">
        <v>80718</v>
      </c>
      <c r="G20" s="137">
        <v>2446000</v>
      </c>
      <c r="H20" s="129">
        <v>3.6139060029845016</v>
      </c>
      <c r="I20" s="124">
        <v>-11197591</v>
      </c>
      <c r="J20" s="138">
        <v>1063</v>
      </c>
      <c r="K20" s="130">
        <v>96</v>
      </c>
      <c r="L20" s="128">
        <v>1159</v>
      </c>
      <c r="M20" s="151">
        <v>17.927831463138993</v>
      </c>
    </row>
    <row r="21" spans="2:13">
      <c r="B21" s="26" t="s">
        <v>84</v>
      </c>
      <c r="C21" s="131">
        <v>46000000</v>
      </c>
      <c r="D21" s="139">
        <v>45321178</v>
      </c>
      <c r="E21" s="132">
        <v>14.31552630280396</v>
      </c>
      <c r="F21" s="131">
        <v>315810</v>
      </c>
      <c r="G21" s="139">
        <v>9570000</v>
      </c>
      <c r="H21" s="132">
        <v>14.139444173573867</v>
      </c>
      <c r="I21" s="131">
        <v>-35751178</v>
      </c>
      <c r="J21" s="140">
        <v>3190</v>
      </c>
      <c r="K21" s="133">
        <v>111</v>
      </c>
      <c r="L21" s="149">
        <v>3301</v>
      </c>
      <c r="M21" s="152">
        <v>21.115955988610889</v>
      </c>
    </row>
    <row r="22" spans="2:13">
      <c r="B22" s="26" t="s">
        <v>85</v>
      </c>
      <c r="C22" s="124">
        <v>8600000</v>
      </c>
      <c r="D22" s="141">
        <v>8577400</v>
      </c>
      <c r="E22" s="148">
        <v>2.7093292965525007</v>
      </c>
      <c r="F22" s="124"/>
      <c r="G22" s="126">
        <v>0</v>
      </c>
      <c r="H22" s="125">
        <v>0</v>
      </c>
      <c r="I22" s="124">
        <v>-8577400</v>
      </c>
      <c r="J22" s="142">
        <v>0</v>
      </c>
      <c r="K22" s="127">
        <v>27358</v>
      </c>
      <c r="L22" s="147">
        <v>27358</v>
      </c>
      <c r="M22" s="191">
        <v>0</v>
      </c>
    </row>
    <row r="23" spans="2:13">
      <c r="B23" s="25" t="s">
        <v>86</v>
      </c>
      <c r="C23" s="131">
        <v>107000000</v>
      </c>
      <c r="D23" s="139">
        <v>104915924</v>
      </c>
      <c r="E23" s="132">
        <v>33.139621163531565</v>
      </c>
      <c r="F23" s="131">
        <v>545160</v>
      </c>
      <c r="G23" s="139">
        <v>16692000</v>
      </c>
      <c r="H23" s="132">
        <v>24.66202739240282</v>
      </c>
      <c r="I23" s="131">
        <v>-88223924</v>
      </c>
      <c r="J23" s="140">
        <v>3295</v>
      </c>
      <c r="K23" s="133">
        <v>202</v>
      </c>
      <c r="L23" s="131">
        <v>3497</v>
      </c>
      <c r="M23" s="153">
        <v>15.909882278690123</v>
      </c>
    </row>
    <row r="24" spans="2:13">
      <c r="B24" s="26" t="s">
        <v>87</v>
      </c>
      <c r="C24" s="124">
        <v>12000000</v>
      </c>
      <c r="D24" s="141">
        <v>11001442</v>
      </c>
      <c r="E24" s="148">
        <v>7.24</v>
      </c>
      <c r="F24" s="124">
        <v>18282</v>
      </c>
      <c r="G24" s="143">
        <v>554000</v>
      </c>
      <c r="H24" s="134">
        <v>0.81852163763426566</v>
      </c>
      <c r="I24" s="124">
        <v>-10447442</v>
      </c>
      <c r="J24" s="142">
        <v>277</v>
      </c>
      <c r="K24" s="127">
        <v>83</v>
      </c>
      <c r="L24" s="124">
        <v>360</v>
      </c>
      <c r="M24" s="154">
        <v>5.0357035014137237</v>
      </c>
    </row>
    <row r="25" spans="2:13">
      <c r="B25" s="25" t="s">
        <v>88</v>
      </c>
      <c r="C25" s="131">
        <v>24000000</v>
      </c>
      <c r="D25" s="139">
        <v>23508800</v>
      </c>
      <c r="E25" s="192">
        <v>7.4256861714264737</v>
      </c>
      <c r="F25" s="131">
        <v>0</v>
      </c>
      <c r="G25" s="139">
        <v>0</v>
      </c>
      <c r="H25" s="132">
        <v>0</v>
      </c>
      <c r="I25" s="131">
        <v>-23508800</v>
      </c>
      <c r="J25" s="140">
        <v>0</v>
      </c>
      <c r="K25" s="133">
        <v>1916</v>
      </c>
      <c r="L25" s="131">
        <v>1916</v>
      </c>
      <c r="M25" s="151">
        <v>0</v>
      </c>
    </row>
    <row r="26" spans="2:13">
      <c r="B26" s="25" t="s">
        <v>89</v>
      </c>
      <c r="C26" s="124">
        <v>40750000</v>
      </c>
      <c r="D26" s="141">
        <v>19468310</v>
      </c>
      <c r="E26" s="192">
        <v>6.1494232095234009</v>
      </c>
      <c r="F26" s="124"/>
      <c r="G26" s="141">
        <v>2272000</v>
      </c>
      <c r="H26" s="132">
        <v>3.3568251998286129</v>
      </c>
      <c r="I26" s="131">
        <v>-17196310</v>
      </c>
      <c r="J26" s="142">
        <v>1136</v>
      </c>
      <c r="K26" s="127">
        <v>218</v>
      </c>
      <c r="L26" s="131">
        <v>1354</v>
      </c>
      <c r="M26" s="151">
        <v>11.670247699980122</v>
      </c>
    </row>
    <row r="27" spans="2:13" ht="18" thickBot="1">
      <c r="B27" s="26" t="s">
        <v>90</v>
      </c>
      <c r="C27" s="131">
        <v>25030000</v>
      </c>
      <c r="D27" s="139">
        <v>16851480</v>
      </c>
      <c r="E27" s="192">
        <v>5.32284940124846</v>
      </c>
      <c r="F27" s="131"/>
      <c r="G27" s="139">
        <v>3213000</v>
      </c>
      <c r="H27" s="132">
        <v>4.7471300031026997</v>
      </c>
      <c r="I27" s="131">
        <v>-13638480</v>
      </c>
      <c r="J27" s="140">
        <v>1071</v>
      </c>
      <c r="K27" s="133">
        <v>159</v>
      </c>
      <c r="L27" s="131">
        <v>1230</v>
      </c>
      <c r="M27" s="153">
        <v>19.066574567931124</v>
      </c>
    </row>
    <row r="28" spans="2:13" ht="18" thickBot="1">
      <c r="B28" s="27" t="s">
        <v>17</v>
      </c>
      <c r="C28" s="20">
        <v>357680000</v>
      </c>
      <c r="D28" s="17">
        <v>316587578</v>
      </c>
      <c r="E28" s="18">
        <v>103.76499252513314</v>
      </c>
      <c r="F28" s="19">
        <v>2047848</v>
      </c>
      <c r="G28" s="17">
        <v>67683000</v>
      </c>
      <c r="H28" s="16">
        <v>99.999999999999986</v>
      </c>
      <c r="I28" s="20">
        <v>-248904578</v>
      </c>
      <c r="J28" s="21">
        <v>15303</v>
      </c>
      <c r="K28" s="22">
        <v>30732</v>
      </c>
      <c r="L28" s="23">
        <v>46035</v>
      </c>
      <c r="M28" s="155">
        <v>36.799999999999997</v>
      </c>
    </row>
  </sheetData>
  <mergeCells count="21">
    <mergeCell ref="I17:I18"/>
    <mergeCell ref="J17:J18"/>
    <mergeCell ref="K17:K18"/>
    <mergeCell ref="L17:L18"/>
    <mergeCell ref="M17:M18"/>
    <mergeCell ref="B17:B18"/>
    <mergeCell ref="C17:C18"/>
    <mergeCell ref="D17:E17"/>
    <mergeCell ref="F17:F18"/>
    <mergeCell ref="G17:H17"/>
    <mergeCell ref="M3:M4"/>
    <mergeCell ref="B1:M1"/>
    <mergeCell ref="B3:B4"/>
    <mergeCell ref="C3:C4"/>
    <mergeCell ref="D3:E3"/>
    <mergeCell ref="F3:F4"/>
    <mergeCell ref="G3:H3"/>
    <mergeCell ref="I3:I4"/>
    <mergeCell ref="J3:J4"/>
    <mergeCell ref="K3:K4"/>
    <mergeCell ref="L3:L4"/>
  </mergeCells>
  <phoneticPr fontId="2" type="noConversion"/>
  <pageMargins left="0.7" right="0.7" top="0.75" bottom="0.75" header="0.3" footer="0.3"/>
  <pageSetup paperSize="8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L38"/>
  <sheetViews>
    <sheetView zoomScaleNormal="100" workbookViewId="0">
      <selection activeCell="J24" sqref="J24"/>
    </sheetView>
  </sheetViews>
  <sheetFormatPr defaultRowHeight="17.399999999999999"/>
  <cols>
    <col min="1" max="1" width="3" customWidth="1"/>
    <col min="2" max="2" width="20.59765625" customWidth="1"/>
    <col min="3" max="3" width="16.09765625" customWidth="1"/>
    <col min="4" max="4" width="13" customWidth="1"/>
    <col min="5" max="5" width="12.69921875" bestFit="1" customWidth="1"/>
    <col min="6" max="6" width="15" customWidth="1"/>
    <col min="7" max="7" width="11.59765625" bestFit="1" customWidth="1"/>
    <col min="8" max="8" width="12.69921875" customWidth="1"/>
    <col min="9" max="9" width="11.59765625" bestFit="1" customWidth="1"/>
    <col min="10" max="11" width="9.8984375" customWidth="1"/>
    <col min="12" max="12" width="10.5" hidden="1" customWidth="1"/>
  </cols>
  <sheetData>
    <row r="1" spans="2:12" ht="32.25" customHeight="1">
      <c r="B1" s="508" t="s">
        <v>97</v>
      </c>
      <c r="C1" s="508"/>
      <c r="D1" s="508"/>
      <c r="E1" s="508"/>
      <c r="F1" s="508"/>
      <c r="G1" s="508"/>
      <c r="H1" s="508"/>
      <c r="I1" s="508"/>
      <c r="J1" s="508"/>
      <c r="K1" s="263"/>
    </row>
    <row r="2" spans="2:12" s="80" customFormat="1" ht="18" customHeight="1" thickBot="1">
      <c r="B2" s="79"/>
      <c r="C2" s="79"/>
      <c r="D2" s="79"/>
      <c r="E2" s="79"/>
      <c r="F2" s="79"/>
      <c r="G2" s="79"/>
      <c r="H2" s="79"/>
      <c r="I2" s="81"/>
      <c r="J2" s="82" t="s">
        <v>98</v>
      </c>
      <c r="K2" s="264"/>
    </row>
    <row r="3" spans="2:12">
      <c r="B3" s="509" t="s">
        <v>2</v>
      </c>
      <c r="C3" s="509" t="s">
        <v>99</v>
      </c>
      <c r="D3" s="511" t="s">
        <v>100</v>
      </c>
      <c r="E3" s="512"/>
      <c r="F3" s="511" t="s">
        <v>101</v>
      </c>
      <c r="G3" s="513"/>
      <c r="H3" s="392" t="s">
        <v>102</v>
      </c>
      <c r="I3" s="509" t="s">
        <v>103</v>
      </c>
      <c r="J3" s="509" t="s">
        <v>104</v>
      </c>
      <c r="K3" s="265"/>
    </row>
    <row r="4" spans="2:12" ht="18" thickBot="1">
      <c r="B4" s="510"/>
      <c r="C4" s="510"/>
      <c r="D4" s="393" t="s">
        <v>105</v>
      </c>
      <c r="E4" s="394" t="s">
        <v>13</v>
      </c>
      <c r="F4" s="395" t="s">
        <v>106</v>
      </c>
      <c r="G4" s="396" t="s">
        <v>13</v>
      </c>
      <c r="H4" s="396" t="s">
        <v>107</v>
      </c>
      <c r="I4" s="510"/>
      <c r="J4" s="510"/>
      <c r="K4" s="265"/>
    </row>
    <row r="5" spans="2:12" ht="21" customHeight="1">
      <c r="B5" s="406" t="s">
        <v>108</v>
      </c>
      <c r="C5" s="316">
        <v>15700</v>
      </c>
      <c r="D5" s="284">
        <v>15700</v>
      </c>
      <c r="E5" s="285">
        <f>D5/D13*100</f>
        <v>12.39147592738753</v>
      </c>
      <c r="F5" s="286">
        <v>21316</v>
      </c>
      <c r="G5" s="287">
        <f>F5/F13*100</f>
        <v>24.093498508002533</v>
      </c>
      <c r="H5" s="288">
        <f t="shared" ref="H5:H13" si="0">D5-F5</f>
        <v>-5616</v>
      </c>
      <c r="I5" s="398">
        <v>697</v>
      </c>
      <c r="J5" s="380">
        <f>F5/D5</f>
        <v>1.3577070063694268</v>
      </c>
      <c r="K5" s="266"/>
    </row>
    <row r="6" spans="2:12" ht="21" customHeight="1">
      <c r="B6" s="407" t="s">
        <v>109</v>
      </c>
      <c r="C6" s="317">
        <v>68000</v>
      </c>
      <c r="D6" s="284">
        <v>65783</v>
      </c>
      <c r="E6" s="289">
        <f>D6/D13*100</f>
        <v>51.920284135753747</v>
      </c>
      <c r="F6" s="290">
        <v>47861</v>
      </c>
      <c r="G6" s="291">
        <f>F6/F13*100</f>
        <v>54.097341531784068</v>
      </c>
      <c r="H6" s="292">
        <f t="shared" si="0"/>
        <v>17922</v>
      </c>
      <c r="I6" s="399">
        <v>70</v>
      </c>
      <c r="J6" s="381">
        <f t="shared" ref="J6:J13" si="1">F6/D6</f>
        <v>0.72755879178511162</v>
      </c>
      <c r="K6" s="266"/>
    </row>
    <row r="7" spans="2:12" ht="21" customHeight="1">
      <c r="B7" s="407" t="s">
        <v>110</v>
      </c>
      <c r="C7" s="317">
        <v>22680</v>
      </c>
      <c r="D7" s="284">
        <v>22556</v>
      </c>
      <c r="E7" s="289">
        <f>D7/D13*100</f>
        <v>17.802683504340962</v>
      </c>
      <c r="F7" s="290">
        <v>12043</v>
      </c>
      <c r="G7" s="293">
        <f>F7/F13*100</f>
        <v>13.612216294420834</v>
      </c>
      <c r="H7" s="292">
        <f t="shared" si="0"/>
        <v>10513</v>
      </c>
      <c r="I7" s="399">
        <v>80</v>
      </c>
      <c r="J7" s="381">
        <f t="shared" si="1"/>
        <v>0.53391558787018978</v>
      </c>
      <c r="K7" s="266"/>
    </row>
    <row r="8" spans="2:12" ht="21" customHeight="1">
      <c r="B8" s="407" t="s">
        <v>111</v>
      </c>
      <c r="C8" s="317">
        <v>19620</v>
      </c>
      <c r="D8" s="284">
        <v>18721</v>
      </c>
      <c r="E8" s="289">
        <f>D8/D13*100</f>
        <v>14.775848460931334</v>
      </c>
      <c r="F8" s="294">
        <v>0</v>
      </c>
      <c r="G8" s="295" t="s">
        <v>112</v>
      </c>
      <c r="H8" s="296">
        <f t="shared" si="0"/>
        <v>18721</v>
      </c>
      <c r="I8" s="400" t="s">
        <v>112</v>
      </c>
      <c r="J8" s="382">
        <f t="shared" si="1"/>
        <v>0</v>
      </c>
      <c r="K8" s="267"/>
    </row>
    <row r="9" spans="2:12" ht="21" customHeight="1">
      <c r="B9" s="408" t="s">
        <v>113</v>
      </c>
      <c r="C9" s="385">
        <v>126000</v>
      </c>
      <c r="D9" s="386">
        <f>SUM(D5,D6,D7,D8)</f>
        <v>122760</v>
      </c>
      <c r="E9" s="387">
        <f>D9/D13*100</f>
        <v>96.890292028413569</v>
      </c>
      <c r="F9" s="388">
        <f>SUM(F5,F6,F7,F8)</f>
        <v>81220</v>
      </c>
      <c r="G9" s="389">
        <f>F9/F13*100</f>
        <v>91.80305633420744</v>
      </c>
      <c r="H9" s="390">
        <f t="shared" si="0"/>
        <v>41540</v>
      </c>
      <c r="I9" s="401">
        <f>SUM(I5,I6,I7)</f>
        <v>847</v>
      </c>
      <c r="J9" s="391">
        <f t="shared" si="1"/>
        <v>0.66161616161616166</v>
      </c>
      <c r="K9" s="266"/>
    </row>
    <row r="10" spans="2:12" ht="21" customHeight="1">
      <c r="B10" s="409" t="s">
        <v>114</v>
      </c>
      <c r="C10" s="318">
        <v>3000</v>
      </c>
      <c r="D10" s="297">
        <v>550</v>
      </c>
      <c r="E10" s="289">
        <f>D10/D13*100</f>
        <v>0.43409629044988163</v>
      </c>
      <c r="F10" s="298">
        <v>5802</v>
      </c>
      <c r="G10" s="299">
        <f>F10/F13*100</f>
        <v>6.5580070530789403</v>
      </c>
      <c r="H10" s="300">
        <f t="shared" si="0"/>
        <v>-5252</v>
      </c>
      <c r="I10" s="402">
        <v>50</v>
      </c>
      <c r="J10" s="381">
        <f t="shared" si="1"/>
        <v>10.549090909090909</v>
      </c>
      <c r="K10" s="266"/>
      <c r="L10" s="163"/>
    </row>
    <row r="11" spans="2:12" ht="21" customHeight="1">
      <c r="B11" s="410" t="s">
        <v>115</v>
      </c>
      <c r="C11" s="319">
        <v>2000</v>
      </c>
      <c r="D11" s="301">
        <v>786</v>
      </c>
      <c r="E11" s="289">
        <f>D11/D13*100</f>
        <v>0.62036306235201266</v>
      </c>
      <c r="F11" s="302">
        <v>1450</v>
      </c>
      <c r="G11" s="303">
        <f>F11/F13*100</f>
        <v>1.6389366127136269</v>
      </c>
      <c r="H11" s="304">
        <f t="shared" si="0"/>
        <v>-664</v>
      </c>
      <c r="I11" s="403">
        <v>20</v>
      </c>
      <c r="J11" s="382">
        <f t="shared" si="1"/>
        <v>1.8447837150127226</v>
      </c>
      <c r="K11" s="267"/>
      <c r="L11" s="163"/>
    </row>
    <row r="12" spans="2:12" ht="21" customHeight="1" thickBot="1">
      <c r="B12" s="411" t="s">
        <v>116</v>
      </c>
      <c r="C12" s="320">
        <v>4000</v>
      </c>
      <c r="D12" s="305">
        <v>2604</v>
      </c>
      <c r="E12" s="306">
        <f>D12/D13*100</f>
        <v>2.0552486187845305</v>
      </c>
      <c r="F12" s="307">
        <v>0</v>
      </c>
      <c r="G12" s="308" t="s">
        <v>112</v>
      </c>
      <c r="H12" s="309">
        <f t="shared" si="0"/>
        <v>2604</v>
      </c>
      <c r="I12" s="404" t="s">
        <v>117</v>
      </c>
      <c r="J12" s="383">
        <f t="shared" si="1"/>
        <v>0</v>
      </c>
      <c r="K12" s="268"/>
    </row>
    <row r="13" spans="2:12" ht="21" customHeight="1" thickBot="1">
      <c r="B13" s="321" t="s">
        <v>118</v>
      </c>
      <c r="C13" s="322">
        <v>135000</v>
      </c>
      <c r="D13" s="323">
        <f>SUM(D9,D10,D11,D12)</f>
        <v>126700</v>
      </c>
      <c r="E13" s="324">
        <v>100</v>
      </c>
      <c r="F13" s="325">
        <f>SUM(F9,F10,F11)</f>
        <v>88472</v>
      </c>
      <c r="G13" s="326">
        <v>100</v>
      </c>
      <c r="H13" s="327">
        <f t="shared" si="0"/>
        <v>38228</v>
      </c>
      <c r="I13" s="405">
        <f>SUM(I9,I10,I11)</f>
        <v>917</v>
      </c>
      <c r="J13" s="384">
        <f t="shared" si="1"/>
        <v>0.69827940015785317</v>
      </c>
      <c r="K13" s="227"/>
    </row>
    <row r="14" spans="2:12" s="228" customFormat="1">
      <c r="B14" s="492" t="s">
        <v>119</v>
      </c>
      <c r="C14" s="492"/>
      <c r="D14" s="492"/>
      <c r="E14" s="492"/>
      <c r="F14" s="492"/>
      <c r="G14" s="492"/>
      <c r="H14" s="492"/>
      <c r="I14" s="492"/>
      <c r="J14" s="492"/>
      <c r="K14" s="227"/>
    </row>
    <row r="15" spans="2:12" s="228" customFormat="1">
      <c r="B15" s="397"/>
      <c r="C15" s="397"/>
      <c r="D15" s="397"/>
      <c r="E15" s="397"/>
      <c r="F15" s="397"/>
      <c r="G15" s="397"/>
      <c r="H15" s="397"/>
      <c r="I15" s="397"/>
      <c r="J15" s="397"/>
      <c r="K15" s="227"/>
    </row>
    <row r="16" spans="2:12" s="228" customFormat="1" ht="27.6">
      <c r="B16" s="494" t="s">
        <v>120</v>
      </c>
      <c r="C16" s="494"/>
      <c r="D16" s="494"/>
      <c r="E16" s="494"/>
      <c r="F16" s="494"/>
      <c r="G16" s="494"/>
      <c r="H16" s="494"/>
      <c r="I16" s="494"/>
      <c r="J16" s="494"/>
      <c r="K16" s="269"/>
    </row>
    <row r="17" spans="2:12" ht="16.5" customHeight="1">
      <c r="B17" s="497" t="s">
        <v>121</v>
      </c>
      <c r="C17" s="497"/>
      <c r="D17" s="497"/>
      <c r="E17" s="497"/>
      <c r="F17" s="497"/>
      <c r="G17" s="497"/>
      <c r="H17" s="497"/>
      <c r="I17" s="497"/>
      <c r="J17" s="497"/>
      <c r="K17" s="497"/>
    </row>
    <row r="18" spans="2:12" s="105" customFormat="1">
      <c r="B18" s="498" t="s">
        <v>2</v>
      </c>
      <c r="C18" s="498" t="s">
        <v>122</v>
      </c>
      <c r="D18" s="517" t="s">
        <v>6</v>
      </c>
      <c r="E18" s="518"/>
      <c r="F18" s="506" t="s">
        <v>8</v>
      </c>
      <c r="G18" s="506"/>
      <c r="H18" s="506"/>
      <c r="I18" s="506"/>
      <c r="J18" s="498" t="s">
        <v>123</v>
      </c>
      <c r="K18" s="498" t="s">
        <v>104</v>
      </c>
      <c r="L18" s="495" t="s">
        <v>124</v>
      </c>
    </row>
    <row r="19" spans="2:12" s="105" customFormat="1">
      <c r="B19" s="499"/>
      <c r="C19" s="499"/>
      <c r="D19" s="248" t="s">
        <v>125</v>
      </c>
      <c r="E19" s="257" t="s">
        <v>126</v>
      </c>
      <c r="F19" s="241" t="s">
        <v>127</v>
      </c>
      <c r="G19" s="241" t="s">
        <v>128</v>
      </c>
      <c r="H19" s="241" t="s">
        <v>129</v>
      </c>
      <c r="I19" s="241" t="s">
        <v>130</v>
      </c>
      <c r="J19" s="499"/>
      <c r="K19" s="499"/>
      <c r="L19" s="496"/>
    </row>
    <row r="20" spans="2:12" s="105" customFormat="1">
      <c r="B20" s="498" t="s">
        <v>131</v>
      </c>
      <c r="C20" s="164" t="s">
        <v>132</v>
      </c>
      <c r="D20" s="502">
        <v>15700000</v>
      </c>
      <c r="E20" s="164">
        <v>3300000</v>
      </c>
      <c r="F20" s="229">
        <v>124278</v>
      </c>
      <c r="G20" s="164">
        <v>3939472</v>
      </c>
      <c r="H20" s="230">
        <f>SUM(F20,G20)</f>
        <v>4063750</v>
      </c>
      <c r="I20" s="500">
        <v>21930500</v>
      </c>
      <c r="J20" s="231">
        <v>135</v>
      </c>
      <c r="K20" s="270">
        <f>H20/E20*100</f>
        <v>123.14393939393939</v>
      </c>
      <c r="L20" s="489">
        <f>I20/D20*100</f>
        <v>139.68471337579618</v>
      </c>
    </row>
    <row r="21" spans="2:12" s="105" customFormat="1">
      <c r="B21" s="496"/>
      <c r="C21" s="165" t="s">
        <v>133</v>
      </c>
      <c r="D21" s="503"/>
      <c r="E21" s="165">
        <v>4400000</v>
      </c>
      <c r="F21" s="232">
        <v>201605</v>
      </c>
      <c r="G21" s="165">
        <v>7279645</v>
      </c>
      <c r="H21" s="233">
        <f t="shared" ref="H21:H24" si="2">SUM(F21,G21)</f>
        <v>7481250</v>
      </c>
      <c r="I21" s="505"/>
      <c r="J21" s="234">
        <v>144</v>
      </c>
      <c r="K21" s="271">
        <f>H21/E21*100</f>
        <v>170.02840909090909</v>
      </c>
      <c r="L21" s="490"/>
    </row>
    <row r="22" spans="2:12" s="105" customFormat="1">
      <c r="B22" s="496"/>
      <c r="C22" s="165" t="s">
        <v>134</v>
      </c>
      <c r="D22" s="503"/>
      <c r="E22" s="165">
        <v>5000000</v>
      </c>
      <c r="F22" s="232">
        <v>104355</v>
      </c>
      <c r="G22" s="165">
        <v>3747395</v>
      </c>
      <c r="H22" s="233">
        <f t="shared" si="2"/>
        <v>3851750</v>
      </c>
      <c r="I22" s="505"/>
      <c r="J22" s="234">
        <v>243</v>
      </c>
      <c r="K22" s="271">
        <f>H22/E22*100</f>
        <v>77.034999999999997</v>
      </c>
      <c r="L22" s="490"/>
    </row>
    <row r="23" spans="2:12" s="105" customFormat="1">
      <c r="B23" s="496"/>
      <c r="C23" s="188" t="s">
        <v>135</v>
      </c>
      <c r="D23" s="503"/>
      <c r="E23" s="165">
        <v>3000000</v>
      </c>
      <c r="F23" s="188">
        <v>148665</v>
      </c>
      <c r="G23" s="188">
        <v>5065085</v>
      </c>
      <c r="H23" s="233">
        <f t="shared" si="2"/>
        <v>5213750</v>
      </c>
      <c r="I23" s="505"/>
      <c r="J23" s="234">
        <v>175</v>
      </c>
      <c r="K23" s="271">
        <f>H23/E23*100</f>
        <v>173.79166666666669</v>
      </c>
      <c r="L23" s="490"/>
    </row>
    <row r="24" spans="2:12" s="105" customFormat="1">
      <c r="B24" s="499"/>
      <c r="C24" s="197" t="s">
        <v>136</v>
      </c>
      <c r="D24" s="504"/>
      <c r="E24" s="259" t="s">
        <v>112</v>
      </c>
      <c r="F24" s="197">
        <v>35640</v>
      </c>
      <c r="G24" s="197">
        <v>1284360</v>
      </c>
      <c r="H24" s="236">
        <f t="shared" si="2"/>
        <v>1320000</v>
      </c>
      <c r="I24" s="501"/>
      <c r="J24" s="237">
        <v>-11</v>
      </c>
      <c r="K24" s="237" t="s">
        <v>112</v>
      </c>
      <c r="L24" s="490"/>
    </row>
    <row r="25" spans="2:12" s="105" customFormat="1">
      <c r="B25" s="514" t="s">
        <v>137</v>
      </c>
      <c r="C25" s="193" t="s">
        <v>138</v>
      </c>
      <c r="D25" s="502">
        <v>68000000</v>
      </c>
      <c r="E25" s="502">
        <v>50973570</v>
      </c>
      <c r="F25" s="238">
        <v>396941</v>
      </c>
      <c r="G25" s="238">
        <v>13251559</v>
      </c>
      <c r="H25" s="230">
        <f>SUM(F25,G25)</f>
        <v>13648500</v>
      </c>
      <c r="I25" s="500">
        <v>35842500</v>
      </c>
      <c r="J25" s="231">
        <v>17</v>
      </c>
      <c r="K25" s="489">
        <f>I25/E25*100</f>
        <v>70.315851920907249</v>
      </c>
      <c r="L25" s="489">
        <f>(I25+I28)/(E25+E28)*100</f>
        <v>75.007330857841865</v>
      </c>
    </row>
    <row r="26" spans="2:12" s="194" customFormat="1">
      <c r="B26" s="515"/>
      <c r="C26" s="188" t="s">
        <v>139</v>
      </c>
      <c r="D26" s="503"/>
      <c r="E26" s="503"/>
      <c r="F26" s="239">
        <v>295367</v>
      </c>
      <c r="G26" s="239">
        <v>10032133</v>
      </c>
      <c r="H26" s="233">
        <f t="shared" ref="H26:H29" si="3">SUM(F26,G26)</f>
        <v>10327500</v>
      </c>
      <c r="I26" s="505"/>
      <c r="J26" s="234">
        <v>15</v>
      </c>
      <c r="K26" s="490"/>
      <c r="L26" s="490"/>
    </row>
    <row r="27" spans="2:12" s="194" customFormat="1">
      <c r="B27" s="515"/>
      <c r="C27" s="188" t="s">
        <v>140</v>
      </c>
      <c r="D27" s="503"/>
      <c r="E27" s="503"/>
      <c r="F27" s="239">
        <v>343481</v>
      </c>
      <c r="G27" s="239">
        <v>11523019</v>
      </c>
      <c r="H27" s="233">
        <f t="shared" si="3"/>
        <v>11866500</v>
      </c>
      <c r="I27" s="505"/>
      <c r="J27" s="234">
        <v>17</v>
      </c>
      <c r="K27" s="491"/>
      <c r="L27" s="490"/>
    </row>
    <row r="28" spans="2:12" s="194" customFormat="1">
      <c r="B28" s="515"/>
      <c r="C28" s="193" t="s">
        <v>141</v>
      </c>
      <c r="D28" s="503"/>
      <c r="E28" s="502">
        <v>14810000</v>
      </c>
      <c r="F28" s="238">
        <v>258984</v>
      </c>
      <c r="G28" s="238">
        <v>7589016</v>
      </c>
      <c r="H28" s="230">
        <f t="shared" si="3"/>
        <v>7848000</v>
      </c>
      <c r="I28" s="500">
        <v>13500000</v>
      </c>
      <c r="J28" s="231">
        <v>12</v>
      </c>
      <c r="K28" s="489">
        <f>I28/E28*100</f>
        <v>91.154625253207286</v>
      </c>
      <c r="L28" s="490"/>
    </row>
    <row r="29" spans="2:12" s="105" customFormat="1">
      <c r="B29" s="516"/>
      <c r="C29" s="197" t="s">
        <v>142</v>
      </c>
      <c r="D29" s="504"/>
      <c r="E29" s="504"/>
      <c r="F29" s="240">
        <v>186516</v>
      </c>
      <c r="G29" s="240">
        <v>5465484</v>
      </c>
      <c r="H29" s="236">
        <f t="shared" si="3"/>
        <v>5652000</v>
      </c>
      <c r="I29" s="501"/>
      <c r="J29" s="241">
        <v>9</v>
      </c>
      <c r="K29" s="491"/>
      <c r="L29" s="490"/>
    </row>
    <row r="30" spans="2:12">
      <c r="B30" s="498" t="s">
        <v>143</v>
      </c>
      <c r="C30" s="164" t="s">
        <v>144</v>
      </c>
      <c r="D30" s="502">
        <v>22680000</v>
      </c>
      <c r="E30" s="242">
        <v>9180000</v>
      </c>
      <c r="F30" s="229">
        <v>124740</v>
      </c>
      <c r="G30" s="164">
        <v>6040260</v>
      </c>
      <c r="H30" s="230">
        <f>SUM(F30,G30)</f>
        <v>6165000</v>
      </c>
      <c r="I30" s="500">
        <v>12303000</v>
      </c>
      <c r="J30" s="231">
        <v>23</v>
      </c>
      <c r="K30" s="270">
        <f>H30/E30*100</f>
        <v>67.156862745098039</v>
      </c>
      <c r="L30" s="489">
        <f>I30/D30*100</f>
        <v>54.24603174603174</v>
      </c>
    </row>
    <row r="31" spans="2:12">
      <c r="B31" s="496"/>
      <c r="C31" s="165" t="s">
        <v>145</v>
      </c>
      <c r="D31" s="503"/>
      <c r="E31" s="243">
        <v>4912900</v>
      </c>
      <c r="F31" s="232">
        <v>43956</v>
      </c>
      <c r="G31" s="165">
        <v>1924044</v>
      </c>
      <c r="H31" s="233">
        <f t="shared" ref="H31:H33" si="4">SUM(F31,G31)</f>
        <v>1968000</v>
      </c>
      <c r="I31" s="505"/>
      <c r="J31" s="244">
        <v>18</v>
      </c>
      <c r="K31" s="273">
        <f>H31/E31*100</f>
        <v>40.057806997903477</v>
      </c>
      <c r="L31" s="490"/>
    </row>
    <row r="32" spans="2:12">
      <c r="B32" s="496"/>
      <c r="C32" s="165" t="s">
        <v>146</v>
      </c>
      <c r="D32" s="503"/>
      <c r="E32" s="243">
        <v>3855800</v>
      </c>
      <c r="F32" s="232">
        <v>43164</v>
      </c>
      <c r="G32" s="165">
        <v>2050836</v>
      </c>
      <c r="H32" s="233">
        <f t="shared" si="4"/>
        <v>2094000</v>
      </c>
      <c r="I32" s="505"/>
      <c r="J32" s="244">
        <v>19</v>
      </c>
      <c r="K32" s="273">
        <f>H32/E32*100</f>
        <v>54.307796047512838</v>
      </c>
      <c r="L32" s="490"/>
    </row>
    <row r="33" spans="2:12">
      <c r="B33" s="499"/>
      <c r="C33" s="197" t="s">
        <v>147</v>
      </c>
      <c r="D33" s="504"/>
      <c r="E33" s="245">
        <v>4607500</v>
      </c>
      <c r="F33" s="236">
        <v>48312</v>
      </c>
      <c r="G33" s="197">
        <v>2027688</v>
      </c>
      <c r="H33" s="236">
        <f t="shared" si="4"/>
        <v>2076000</v>
      </c>
      <c r="I33" s="501"/>
      <c r="J33" s="241">
        <v>20</v>
      </c>
      <c r="K33" s="272">
        <f>H33/E33*100</f>
        <v>45.056972327726534</v>
      </c>
      <c r="L33" s="491"/>
    </row>
    <row r="34" spans="2:12" s="105" customFormat="1" ht="17.25" customHeight="1">
      <c r="B34" s="258" t="s">
        <v>148</v>
      </c>
      <c r="C34" s="226" t="s">
        <v>149</v>
      </c>
      <c r="D34" s="246">
        <v>19620000</v>
      </c>
      <c r="E34" s="247">
        <v>18721400</v>
      </c>
      <c r="F34" s="260" t="s">
        <v>112</v>
      </c>
      <c r="G34" s="260" t="s">
        <v>112</v>
      </c>
      <c r="H34" s="260" t="s">
        <v>112</v>
      </c>
      <c r="I34" s="261" t="s">
        <v>117</v>
      </c>
      <c r="J34" s="248" t="s">
        <v>112</v>
      </c>
      <c r="K34" s="275" t="s">
        <v>112</v>
      </c>
      <c r="L34" s="272" t="s">
        <v>112</v>
      </c>
    </row>
    <row r="35" spans="2:12" s="105" customFormat="1">
      <c r="B35" s="498" t="s">
        <v>150</v>
      </c>
      <c r="C35" s="195" t="s">
        <v>151</v>
      </c>
      <c r="D35" s="502">
        <v>1550000</v>
      </c>
      <c r="E35" s="242">
        <v>550000</v>
      </c>
      <c r="F35" s="249">
        <v>198000</v>
      </c>
      <c r="G35" s="165">
        <v>5802000</v>
      </c>
      <c r="H35" s="229">
        <f>SUM(F35,G35)</f>
        <v>6000000</v>
      </c>
      <c r="I35" s="500">
        <v>7500000</v>
      </c>
      <c r="J35" s="231">
        <v>50</v>
      </c>
      <c r="K35" s="262">
        <f>H35/E35*100</f>
        <v>1090.9090909090908</v>
      </c>
      <c r="L35" s="490">
        <f>I35/D35*100</f>
        <v>483.87096774193549</v>
      </c>
    </row>
    <row r="36" spans="2:12" s="105" customFormat="1">
      <c r="B36" s="499"/>
      <c r="C36" s="196" t="s">
        <v>152</v>
      </c>
      <c r="D36" s="504"/>
      <c r="E36" s="245">
        <v>786200</v>
      </c>
      <c r="F36" s="250">
        <v>49500</v>
      </c>
      <c r="G36" s="235">
        <v>1450500</v>
      </c>
      <c r="H36" s="251">
        <f>SUM(F36,G36)</f>
        <v>1500000</v>
      </c>
      <c r="I36" s="501"/>
      <c r="J36" s="241">
        <v>20</v>
      </c>
      <c r="K36" s="272">
        <f>H36/E36*100</f>
        <v>190.79114729076571</v>
      </c>
      <c r="L36" s="491"/>
    </row>
    <row r="37" spans="2:12" s="79" customFormat="1">
      <c r="B37" s="507" t="s">
        <v>153</v>
      </c>
      <c r="C37" s="507"/>
      <c r="D37" s="252">
        <f>SUM(D20,D25,D30,D34,D35)</f>
        <v>127550000</v>
      </c>
      <c r="E37" s="252">
        <f>SUM(E20:E36)</f>
        <v>124097370</v>
      </c>
      <c r="F37" s="253">
        <f>SUM(F20:F36)</f>
        <v>2603504</v>
      </c>
      <c r="G37" s="253">
        <f>SUM(G20:G36)</f>
        <v>88472496</v>
      </c>
      <c r="H37" s="254">
        <f>SUM(F37,G37)</f>
        <v>91076000</v>
      </c>
      <c r="I37" s="255">
        <f>SUM(F37,G37)</f>
        <v>91076000</v>
      </c>
      <c r="J37" s="256">
        <v>917</v>
      </c>
      <c r="K37" s="274">
        <f>H37/E37*100</f>
        <v>73.390757596232703</v>
      </c>
      <c r="L37" s="274">
        <f>I37/E37*100</f>
        <v>73.390757596232703</v>
      </c>
    </row>
    <row r="38" spans="2:12">
      <c r="B38" s="493" t="s">
        <v>154</v>
      </c>
      <c r="C38" s="493"/>
      <c r="D38" s="493"/>
      <c r="E38" s="493"/>
      <c r="F38" s="493"/>
      <c r="G38" s="493"/>
      <c r="H38" s="493"/>
      <c r="I38" s="493"/>
      <c r="J38" s="493"/>
      <c r="K38" s="493"/>
    </row>
  </sheetData>
  <mergeCells count="40">
    <mergeCell ref="J18:J19"/>
    <mergeCell ref="B37:C37"/>
    <mergeCell ref="B1:J1"/>
    <mergeCell ref="B3:B4"/>
    <mergeCell ref="C3:C4"/>
    <mergeCell ref="D3:E3"/>
    <mergeCell ref="F3:G3"/>
    <mergeCell ref="J3:J4"/>
    <mergeCell ref="I3:I4"/>
    <mergeCell ref="B35:B36"/>
    <mergeCell ref="B25:B29"/>
    <mergeCell ref="B20:B24"/>
    <mergeCell ref="D35:D36"/>
    <mergeCell ref="D20:D24"/>
    <mergeCell ref="D25:D29"/>
    <mergeCell ref="D18:E18"/>
    <mergeCell ref="B18:B19"/>
    <mergeCell ref="C18:C19"/>
    <mergeCell ref="I28:I29"/>
    <mergeCell ref="B30:B33"/>
    <mergeCell ref="D30:D33"/>
    <mergeCell ref="F18:I18"/>
    <mergeCell ref="I20:I24"/>
    <mergeCell ref="I30:I33"/>
    <mergeCell ref="L30:L33"/>
    <mergeCell ref="L35:L36"/>
    <mergeCell ref="B14:J14"/>
    <mergeCell ref="B38:K38"/>
    <mergeCell ref="K25:K27"/>
    <mergeCell ref="K28:K29"/>
    <mergeCell ref="B16:J16"/>
    <mergeCell ref="L18:L19"/>
    <mergeCell ref="L20:L24"/>
    <mergeCell ref="L25:L29"/>
    <mergeCell ref="B17:K17"/>
    <mergeCell ref="K18:K19"/>
    <mergeCell ref="I35:I36"/>
    <mergeCell ref="E25:E27"/>
    <mergeCell ref="E28:E29"/>
    <mergeCell ref="I25:I27"/>
  </mergeCells>
  <phoneticPr fontId="2" type="noConversion"/>
  <pageMargins left="0.70866141732283472" right="0.70866141732283472" top="0.74803149606299213" bottom="0.74803149606299213" header="0.31496062992125984" footer="0.31496062992125984"/>
  <pageSetup paperSize="8" orientation="landscape" verticalDpi="0" r:id="rId1"/>
  <ignoredErrors>
    <ignoredError sqref="E9:F9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6E289-39DE-4C3C-A6E6-F1398EE3C4F8}">
  <dimension ref="A1:I36"/>
  <sheetViews>
    <sheetView zoomScale="85" zoomScaleNormal="85" workbookViewId="0">
      <selection sqref="A1:H1"/>
    </sheetView>
  </sheetViews>
  <sheetFormatPr defaultRowHeight="17.399999999999999"/>
  <cols>
    <col min="1" max="1" width="5.5" bestFit="1" customWidth="1"/>
    <col min="2" max="2" width="4.8984375" bestFit="1" customWidth="1"/>
    <col min="3" max="3" width="16.5" bestFit="1" customWidth="1"/>
    <col min="4" max="4" width="23.19921875" bestFit="1" customWidth="1"/>
    <col min="5" max="6" width="9.19921875" bestFit="1" customWidth="1"/>
    <col min="7" max="7" width="10.69921875" bestFit="1" customWidth="1"/>
    <col min="8" max="8" width="50.59765625" bestFit="1" customWidth="1"/>
  </cols>
  <sheetData>
    <row r="1" spans="1:9" ht="27.6">
      <c r="A1" s="519" t="s">
        <v>155</v>
      </c>
      <c r="B1" s="519"/>
      <c r="C1" s="519"/>
      <c r="D1" s="519"/>
      <c r="E1" s="519"/>
      <c r="F1" s="519"/>
      <c r="G1" s="519"/>
      <c r="H1" s="519"/>
    </row>
    <row r="2" spans="1:9" ht="16.5" customHeight="1">
      <c r="A2" s="106"/>
      <c r="B2" s="106"/>
      <c r="C2" s="106"/>
      <c r="D2" s="106"/>
      <c r="E2" s="106"/>
      <c r="F2" s="106"/>
      <c r="G2" s="106"/>
      <c r="H2" s="106"/>
    </row>
    <row r="3" spans="1:9">
      <c r="H3" s="107" t="s">
        <v>156</v>
      </c>
    </row>
    <row r="4" spans="1:9" ht="30" customHeight="1">
      <c r="A4" s="115" t="s">
        <v>157</v>
      </c>
      <c r="B4" s="108" t="s">
        <v>158</v>
      </c>
      <c r="C4" s="108" t="s">
        <v>159</v>
      </c>
      <c r="D4" s="108" t="s">
        <v>160</v>
      </c>
      <c r="E4" s="108" t="s">
        <v>161</v>
      </c>
      <c r="F4" s="108" t="s">
        <v>162</v>
      </c>
      <c r="G4" s="108" t="s">
        <v>163</v>
      </c>
      <c r="H4" s="108" t="s">
        <v>164</v>
      </c>
    </row>
    <row r="5" spans="1:9" ht="30" customHeight="1">
      <c r="A5" s="113" t="s">
        <v>165</v>
      </c>
      <c r="B5" s="524" t="s">
        <v>166</v>
      </c>
      <c r="C5" s="525"/>
      <c r="D5" s="119"/>
      <c r="E5" s="120">
        <f>SUM(E6:E17)</f>
        <v>350</v>
      </c>
      <c r="F5" s="120">
        <f>SUM(F6:F17)</f>
        <v>354</v>
      </c>
      <c r="G5" s="109"/>
      <c r="H5" s="110"/>
    </row>
    <row r="6" spans="1:9" ht="30" customHeight="1">
      <c r="A6" s="114"/>
      <c r="B6" s="112">
        <v>1</v>
      </c>
      <c r="C6" s="110" t="s">
        <v>167</v>
      </c>
      <c r="D6" s="110" t="s">
        <v>168</v>
      </c>
      <c r="E6" s="111">
        <v>30</v>
      </c>
      <c r="F6" s="111">
        <v>21</v>
      </c>
      <c r="G6" s="109" t="s">
        <v>169</v>
      </c>
      <c r="H6" s="110" t="s">
        <v>170</v>
      </c>
    </row>
    <row r="7" spans="1:9" ht="30" customHeight="1">
      <c r="A7" s="114"/>
      <c r="B7" s="112">
        <v>2</v>
      </c>
      <c r="C7" s="110" t="s">
        <v>171</v>
      </c>
      <c r="D7" s="110" t="s">
        <v>172</v>
      </c>
      <c r="E7" s="111">
        <v>50</v>
      </c>
      <c r="F7" s="111">
        <v>60</v>
      </c>
      <c r="G7" s="109" t="s">
        <v>169</v>
      </c>
      <c r="H7" s="110" t="s">
        <v>173</v>
      </c>
    </row>
    <row r="8" spans="1:9" ht="30" customHeight="1">
      <c r="A8" s="114"/>
      <c r="B8" s="112">
        <v>3</v>
      </c>
      <c r="C8" s="110" t="s">
        <v>167</v>
      </c>
      <c r="D8" s="110" t="s">
        <v>174</v>
      </c>
      <c r="E8" s="111">
        <v>30</v>
      </c>
      <c r="F8" s="111">
        <v>30</v>
      </c>
      <c r="G8" s="109" t="s">
        <v>169</v>
      </c>
      <c r="H8" s="110" t="s">
        <v>175</v>
      </c>
    </row>
    <row r="9" spans="1:9" ht="30" customHeight="1">
      <c r="A9" s="114"/>
      <c r="B9" s="112">
        <v>4</v>
      </c>
      <c r="C9" s="110" t="s">
        <v>176</v>
      </c>
      <c r="D9" s="110" t="s">
        <v>177</v>
      </c>
      <c r="E9" s="111">
        <v>13</v>
      </c>
      <c r="F9" s="111">
        <v>13</v>
      </c>
      <c r="G9" s="109" t="s">
        <v>178</v>
      </c>
      <c r="H9" s="110" t="s">
        <v>179</v>
      </c>
    </row>
    <row r="10" spans="1:9" ht="30" customHeight="1">
      <c r="A10" s="114"/>
      <c r="B10" s="112">
        <v>5</v>
      </c>
      <c r="C10" s="110" t="s">
        <v>180</v>
      </c>
      <c r="D10" s="110" t="s">
        <v>181</v>
      </c>
      <c r="E10" s="111">
        <v>30</v>
      </c>
      <c r="F10" s="111">
        <v>31</v>
      </c>
      <c r="G10" s="109" t="s">
        <v>169</v>
      </c>
      <c r="H10" s="110" t="s">
        <v>182</v>
      </c>
    </row>
    <row r="11" spans="1:9" ht="30" customHeight="1">
      <c r="A11" s="114"/>
      <c r="B11" s="112">
        <v>6</v>
      </c>
      <c r="C11" s="110" t="s">
        <v>176</v>
      </c>
      <c r="D11" s="110" t="s">
        <v>183</v>
      </c>
      <c r="E11" s="111">
        <v>21</v>
      </c>
      <c r="F11" s="111">
        <v>23</v>
      </c>
      <c r="G11" s="109" t="s">
        <v>169</v>
      </c>
      <c r="H11" s="110" t="s">
        <v>184</v>
      </c>
    </row>
    <row r="12" spans="1:9" ht="30" customHeight="1">
      <c r="A12" s="114"/>
      <c r="B12" s="171">
        <v>7</v>
      </c>
      <c r="C12" s="172" t="s">
        <v>185</v>
      </c>
      <c r="D12" s="172" t="s">
        <v>186</v>
      </c>
      <c r="E12" s="167">
        <v>35</v>
      </c>
      <c r="F12" s="167">
        <v>35</v>
      </c>
      <c r="G12" s="173" t="s">
        <v>169</v>
      </c>
      <c r="H12" s="172" t="s">
        <v>187</v>
      </c>
    </row>
    <row r="13" spans="1:9" ht="30" customHeight="1">
      <c r="A13" s="170"/>
      <c r="B13" s="169">
        <v>8</v>
      </c>
      <c r="C13" s="110" t="s">
        <v>188</v>
      </c>
      <c r="D13" s="110" t="s">
        <v>189</v>
      </c>
      <c r="E13" s="111">
        <v>2</v>
      </c>
      <c r="F13" s="111">
        <v>2</v>
      </c>
      <c r="G13" s="109" t="s">
        <v>190</v>
      </c>
      <c r="H13" s="174" t="s">
        <v>191</v>
      </c>
    </row>
    <row r="14" spans="1:9" ht="30" customHeight="1">
      <c r="A14" s="170"/>
      <c r="B14" s="169">
        <v>9</v>
      </c>
      <c r="C14" s="110" t="s">
        <v>188</v>
      </c>
      <c r="D14" s="110" t="s">
        <v>192</v>
      </c>
      <c r="E14" s="111">
        <v>88</v>
      </c>
      <c r="F14" s="111">
        <v>88</v>
      </c>
      <c r="G14" s="109" t="s">
        <v>169</v>
      </c>
      <c r="H14" s="174" t="s">
        <v>193</v>
      </c>
    </row>
    <row r="15" spans="1:9" ht="30" customHeight="1">
      <c r="A15" s="170"/>
      <c r="B15" s="169">
        <v>10</v>
      </c>
      <c r="C15" s="172" t="s">
        <v>188</v>
      </c>
      <c r="D15" s="172" t="s">
        <v>192</v>
      </c>
      <c r="E15" s="167">
        <v>11</v>
      </c>
      <c r="F15" s="167">
        <v>11</v>
      </c>
      <c r="G15" s="173" t="s">
        <v>190</v>
      </c>
      <c r="H15" s="176" t="s">
        <v>191</v>
      </c>
    </row>
    <row r="16" spans="1:9" ht="30" customHeight="1">
      <c r="A16" s="170"/>
      <c r="B16" s="175">
        <v>11</v>
      </c>
      <c r="C16" s="110" t="s">
        <v>194</v>
      </c>
      <c r="D16" s="110" t="s">
        <v>195</v>
      </c>
      <c r="E16" s="110">
        <v>40</v>
      </c>
      <c r="F16" s="110">
        <v>40</v>
      </c>
      <c r="G16" s="109" t="s">
        <v>169</v>
      </c>
      <c r="H16" s="174" t="s">
        <v>196</v>
      </c>
      <c r="I16" t="s">
        <v>197</v>
      </c>
    </row>
    <row r="17" spans="1:8" ht="30" customHeight="1">
      <c r="A17" s="170"/>
      <c r="B17" s="182">
        <v>12</v>
      </c>
      <c r="C17" s="183"/>
      <c r="D17" s="183"/>
      <c r="E17" s="168"/>
      <c r="F17" s="168"/>
      <c r="G17" s="184"/>
      <c r="H17" s="183"/>
    </row>
    <row r="18" spans="1:8" ht="30" customHeight="1">
      <c r="A18" s="177" t="s">
        <v>198</v>
      </c>
      <c r="B18" s="520" t="s">
        <v>166</v>
      </c>
      <c r="C18" s="521"/>
      <c r="D18" s="178">
        <f>SUM(B30)</f>
        <v>12</v>
      </c>
      <c r="E18" s="179">
        <f>SUM(E19:E30)</f>
        <v>219</v>
      </c>
      <c r="F18" s="179">
        <f>SUM(F19:F32)</f>
        <v>211</v>
      </c>
      <c r="G18" s="180"/>
      <c r="H18" s="181"/>
    </row>
    <row r="19" spans="1:8" ht="30" customHeight="1">
      <c r="A19" s="116"/>
      <c r="B19" s="112">
        <v>1</v>
      </c>
      <c r="C19" s="109" t="s">
        <v>199</v>
      </c>
      <c r="D19" s="110" t="s">
        <v>200</v>
      </c>
      <c r="E19" s="111">
        <v>12</v>
      </c>
      <c r="F19" s="111">
        <v>12</v>
      </c>
      <c r="G19" s="109" t="s">
        <v>169</v>
      </c>
      <c r="H19" s="110" t="s">
        <v>201</v>
      </c>
    </row>
    <row r="20" spans="1:8" ht="30" customHeight="1">
      <c r="A20" s="116"/>
      <c r="B20" s="112">
        <v>2</v>
      </c>
      <c r="C20" s="109" t="s">
        <v>199</v>
      </c>
      <c r="D20" s="110" t="s">
        <v>202</v>
      </c>
      <c r="E20" s="111">
        <v>10</v>
      </c>
      <c r="F20" s="111">
        <v>10</v>
      </c>
      <c r="G20" s="109" t="s">
        <v>169</v>
      </c>
      <c r="H20" s="110" t="s">
        <v>203</v>
      </c>
    </row>
    <row r="21" spans="1:8" ht="30" customHeight="1">
      <c r="A21" s="116"/>
      <c r="B21" s="112">
        <v>3</v>
      </c>
      <c r="C21" s="109" t="s">
        <v>199</v>
      </c>
      <c r="D21" s="110" t="s">
        <v>204</v>
      </c>
      <c r="E21" s="111">
        <v>24</v>
      </c>
      <c r="F21" s="526">
        <v>19</v>
      </c>
      <c r="G21" s="109" t="s">
        <v>169</v>
      </c>
      <c r="H21" s="110" t="s">
        <v>205</v>
      </c>
    </row>
    <row r="22" spans="1:8" ht="30" customHeight="1">
      <c r="A22" s="116"/>
      <c r="B22" s="112">
        <v>4</v>
      </c>
      <c r="C22" s="109" t="s">
        <v>199</v>
      </c>
      <c r="D22" s="110" t="s">
        <v>204</v>
      </c>
      <c r="E22" s="111">
        <v>25</v>
      </c>
      <c r="F22" s="527"/>
      <c r="G22" s="109" t="s">
        <v>169</v>
      </c>
      <c r="H22" s="110" t="s">
        <v>206</v>
      </c>
    </row>
    <row r="23" spans="1:8" ht="30" customHeight="1">
      <c r="A23" s="116"/>
      <c r="B23" s="112">
        <v>5</v>
      </c>
      <c r="C23" s="109" t="s">
        <v>199</v>
      </c>
      <c r="D23" s="110" t="s">
        <v>207</v>
      </c>
      <c r="E23" s="111">
        <v>33</v>
      </c>
      <c r="F23" s="526">
        <v>43</v>
      </c>
      <c r="G23" s="109" t="s">
        <v>169</v>
      </c>
      <c r="H23" s="110" t="s">
        <v>208</v>
      </c>
    </row>
    <row r="24" spans="1:8" ht="30" customHeight="1">
      <c r="A24" s="116"/>
      <c r="B24" s="112">
        <v>6</v>
      </c>
      <c r="C24" s="109" t="s">
        <v>199</v>
      </c>
      <c r="D24" s="110" t="s">
        <v>209</v>
      </c>
      <c r="E24" s="111">
        <v>18</v>
      </c>
      <c r="F24" s="527"/>
      <c r="G24" s="109" t="s">
        <v>169</v>
      </c>
      <c r="H24" s="110" t="s">
        <v>210</v>
      </c>
    </row>
    <row r="25" spans="1:8" ht="30" customHeight="1">
      <c r="A25" s="116"/>
      <c r="B25" s="112">
        <v>7</v>
      </c>
      <c r="C25" s="109" t="s">
        <v>199</v>
      </c>
      <c r="D25" s="110" t="s">
        <v>211</v>
      </c>
      <c r="E25" s="111">
        <v>18</v>
      </c>
      <c r="F25" s="111">
        <v>21</v>
      </c>
      <c r="G25" s="109" t="s">
        <v>169</v>
      </c>
      <c r="H25" s="110" t="s">
        <v>212</v>
      </c>
    </row>
    <row r="26" spans="1:8" ht="30" customHeight="1">
      <c r="A26" s="116"/>
      <c r="B26" s="112">
        <v>8</v>
      </c>
      <c r="C26" s="109" t="s">
        <v>199</v>
      </c>
      <c r="D26" s="110" t="s">
        <v>213</v>
      </c>
      <c r="E26" s="111">
        <v>14</v>
      </c>
      <c r="F26" s="526">
        <v>34</v>
      </c>
      <c r="G26" s="109" t="s">
        <v>169</v>
      </c>
      <c r="H26" s="110" t="s">
        <v>214</v>
      </c>
    </row>
    <row r="27" spans="1:8" ht="30" customHeight="1">
      <c r="A27" s="116"/>
      <c r="B27" s="112">
        <v>9</v>
      </c>
      <c r="C27" s="109" t="s">
        <v>199</v>
      </c>
      <c r="D27" s="110" t="s">
        <v>215</v>
      </c>
      <c r="E27" s="111">
        <v>22</v>
      </c>
      <c r="F27" s="527"/>
      <c r="G27" s="109" t="s">
        <v>169</v>
      </c>
      <c r="H27" s="110" t="s">
        <v>216</v>
      </c>
    </row>
    <row r="28" spans="1:8" ht="30" customHeight="1">
      <c r="A28" s="116"/>
      <c r="B28" s="112">
        <v>10</v>
      </c>
      <c r="C28" s="109" t="s">
        <v>199</v>
      </c>
      <c r="D28" s="110" t="s">
        <v>217</v>
      </c>
      <c r="E28" s="111">
        <v>10</v>
      </c>
      <c r="F28" s="526">
        <v>38</v>
      </c>
      <c r="G28" s="109" t="s">
        <v>169</v>
      </c>
      <c r="H28" s="110" t="s">
        <v>218</v>
      </c>
    </row>
    <row r="29" spans="1:8" ht="30" customHeight="1">
      <c r="A29" s="116"/>
      <c r="B29" s="112">
        <v>11</v>
      </c>
      <c r="C29" s="109" t="s">
        <v>199</v>
      </c>
      <c r="D29" s="110" t="s">
        <v>219</v>
      </c>
      <c r="E29" s="111">
        <v>15</v>
      </c>
      <c r="F29" s="528"/>
      <c r="G29" s="109" t="s">
        <v>169</v>
      </c>
      <c r="H29" s="110" t="s">
        <v>220</v>
      </c>
    </row>
    <row r="30" spans="1:8" ht="30" customHeight="1">
      <c r="A30" s="116"/>
      <c r="B30" s="112">
        <v>12</v>
      </c>
      <c r="C30" s="109" t="s">
        <v>199</v>
      </c>
      <c r="D30" s="110" t="s">
        <v>221</v>
      </c>
      <c r="E30" s="111">
        <v>18</v>
      </c>
      <c r="F30" s="528"/>
      <c r="G30" s="109" t="s">
        <v>169</v>
      </c>
      <c r="H30" s="110" t="s">
        <v>222</v>
      </c>
    </row>
    <row r="31" spans="1:8" ht="30" customHeight="1">
      <c r="A31" s="116"/>
      <c r="B31" s="112">
        <v>13</v>
      </c>
      <c r="C31" s="109" t="s">
        <v>223</v>
      </c>
      <c r="D31" s="110" t="s">
        <v>224</v>
      </c>
      <c r="E31" s="111">
        <v>10</v>
      </c>
      <c r="F31" s="111">
        <v>10</v>
      </c>
      <c r="G31" s="109" t="s">
        <v>225</v>
      </c>
      <c r="H31" s="110" t="s">
        <v>226</v>
      </c>
    </row>
    <row r="32" spans="1:8" ht="30" customHeight="1">
      <c r="A32" s="116"/>
      <c r="B32" s="171">
        <v>14</v>
      </c>
      <c r="C32" s="173" t="s">
        <v>223</v>
      </c>
      <c r="D32" s="172" t="s">
        <v>227</v>
      </c>
      <c r="E32" s="167">
        <v>15</v>
      </c>
      <c r="F32" s="167">
        <v>24</v>
      </c>
      <c r="G32" s="173" t="s">
        <v>169</v>
      </c>
      <c r="H32" s="172" t="s">
        <v>228</v>
      </c>
    </row>
    <row r="33" spans="1:8" ht="30" customHeight="1">
      <c r="A33" s="185" t="s">
        <v>229</v>
      </c>
      <c r="B33" s="522" t="s">
        <v>166</v>
      </c>
      <c r="C33" s="523"/>
      <c r="D33" s="186"/>
      <c r="E33" s="187"/>
      <c r="F33" s="187"/>
      <c r="G33" s="180"/>
      <c r="H33" s="181"/>
    </row>
    <row r="34" spans="1:8" ht="30" customHeight="1">
      <c r="A34" s="117"/>
      <c r="B34" s="112">
        <v>1</v>
      </c>
      <c r="C34" s="109" t="s">
        <v>230</v>
      </c>
      <c r="D34" s="110"/>
      <c r="E34" s="111"/>
      <c r="F34" s="111"/>
      <c r="G34" s="109"/>
      <c r="H34" s="110"/>
    </row>
    <row r="35" spans="1:8" ht="30" customHeight="1">
      <c r="A35" s="118"/>
      <c r="B35" s="112">
        <v>2</v>
      </c>
      <c r="C35" s="109" t="s">
        <v>230</v>
      </c>
      <c r="D35" s="110"/>
      <c r="E35" s="110"/>
      <c r="F35" s="110"/>
      <c r="G35" s="109"/>
      <c r="H35" s="110"/>
    </row>
    <row r="36" spans="1:8">
      <c r="A36" s="105"/>
    </row>
  </sheetData>
  <mergeCells count="8">
    <mergeCell ref="A1:H1"/>
    <mergeCell ref="B18:C18"/>
    <mergeCell ref="B33:C33"/>
    <mergeCell ref="B5:C5"/>
    <mergeCell ref="F23:F24"/>
    <mergeCell ref="F21:F22"/>
    <mergeCell ref="F26:F27"/>
    <mergeCell ref="F28:F30"/>
  </mergeCells>
  <phoneticPr fontId="2" type="noConversion"/>
  <pageMargins left="0.25" right="0.25" top="0.75" bottom="0.75" header="0.3" footer="0.3"/>
  <pageSetup paperSize="8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664B7-2327-44EB-AE16-5EA52178E321}">
  <dimension ref="A1"/>
  <sheetViews>
    <sheetView workbookViewId="0"/>
  </sheetViews>
  <sheetFormatPr defaultRowHeight="17.399999999999999"/>
  <sheetData/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CCACF5B748BE7D4694FF277D73DFA9F9" ma:contentTypeVersion="13" ma:contentTypeDescription="새 문서를 만듭니다." ma:contentTypeScope="" ma:versionID="956cf1ffb9f789244df4b0fa8ce09418">
  <xsd:schema xmlns:xsd="http://www.w3.org/2001/XMLSchema" xmlns:xs="http://www.w3.org/2001/XMLSchema" xmlns:p="http://schemas.microsoft.com/office/2006/metadata/properties" xmlns:ns2="cef58463-a470-48e0-b9e8-f47b9610e506" xmlns:ns3="56a9194c-e9a0-44d3-bbd3-5f89eaa9d191" targetNamespace="http://schemas.microsoft.com/office/2006/metadata/properties" ma:root="true" ma:fieldsID="50ce78191d7ecbb2322f08ca2173d315" ns2:_="" ns3:_="">
    <xsd:import namespace="cef58463-a470-48e0-b9e8-f47b9610e506"/>
    <xsd:import namespace="56a9194c-e9a0-44d3-bbd3-5f89eaa9d1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f58463-a470-48e0-b9e8-f47b9610e5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이미지 태그" ma:readOnly="false" ma:fieldId="{5cf76f15-5ced-4ddc-b409-7134ff3c332f}" ma:taxonomyMulti="true" ma:sspId="20ec99ea-01b1-40d5-b6d4-9c3a40c91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a9194c-e9a0-44d3-bbd3-5f89eaa9d19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aa07ed3-8a3a-4cae-97f3-46c4e31dbffd}" ma:internalName="TaxCatchAll" ma:showField="CatchAllData" ma:web="56a9194c-e9a0-44d3-bbd3-5f89eaa9d1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6a9194c-e9a0-44d3-bbd3-5f89eaa9d191" xsi:nil="true"/>
    <lcf76f155ced4ddcb4097134ff3c332f xmlns="cef58463-a470-48e0-b9e8-f47b9610e50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0A6E53-A65A-43DC-844B-8906467E9C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f58463-a470-48e0-b9e8-f47b9610e506"/>
    <ds:schemaRef ds:uri="56a9194c-e9a0-44d3-bbd3-5f89eaa9d1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5DF0BF-824B-4BCC-95A1-A62FC97D89B6}">
  <ds:schemaRefs>
    <ds:schemaRef ds:uri="http://schemas.microsoft.com/office/2006/metadata/properties"/>
    <ds:schemaRef ds:uri="http://schemas.microsoft.com/office/infopath/2007/PartnerControls"/>
    <ds:schemaRef ds:uri="56a9194c-e9a0-44d3-bbd3-5f89eaa9d191"/>
    <ds:schemaRef ds:uri="cef58463-a470-48e0-b9e8-f47b9610e506"/>
  </ds:schemaRefs>
</ds:datastoreItem>
</file>

<file path=customXml/itemProps3.xml><?xml version="1.0" encoding="utf-8"?>
<ds:datastoreItem xmlns:ds="http://schemas.openxmlformats.org/officeDocument/2006/customXml" ds:itemID="{DDD6B331-91E1-4318-99D1-E035B7DD162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2</vt:i4>
      </vt:variant>
    </vt:vector>
  </HeadingPairs>
  <TitlesOfParts>
    <vt:vector size="8" baseType="lpstr">
      <vt:lpstr>25공연</vt:lpstr>
      <vt:lpstr>25공연_260319수정</vt:lpstr>
      <vt:lpstr>25전시</vt:lpstr>
      <vt:lpstr>25교육</vt:lpstr>
      <vt:lpstr>25 문화나눔</vt:lpstr>
      <vt:lpstr>Sheet1</vt:lpstr>
      <vt:lpstr>'25 문화나눔'!Print_Area</vt:lpstr>
      <vt:lpstr>'25공연_260319수정'!Print_Area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황세웅</cp:lastModifiedBy>
  <cp:revision/>
  <dcterms:created xsi:type="dcterms:W3CDTF">2024-12-20T02:18:44Z</dcterms:created>
  <dcterms:modified xsi:type="dcterms:W3CDTF">2026-07-01T06:38:22Z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0x010100CCACF5B748BE7D4694FF277D73DFA9F9</vt:lpwstr>
  </property>
  <property fmtid="{D5CDD505-2E9C-101B-9397-08002B2CF9AE}" pid="3" name="Order">
    <vt:r8>1084100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