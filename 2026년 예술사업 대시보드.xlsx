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always"/>
  <mc:AlternateContent xmlns:mc="http://schemas.openxmlformats.org/markup-compatibility/2006">
    <mc:Choice Requires="x15">
      <x15ac:absPath xmlns:x15ac="http://schemas.microsoft.com/office/spreadsheetml/2010/11/ac" url="https://gscaltexyeulmaru.sharepoint.com/sites/artsmanagement/Shared Documents/General/1. 팀장님 보고용(팀 취합)/3. 예산안/"/>
    </mc:Choice>
  </mc:AlternateContent>
  <xr:revisionPtr revIDLastSave="341" documentId="8_{EC2B215F-B343-4513-93EF-544C4513BA06}" xr6:coauthVersionLast="47" xr6:coauthVersionMax="47" xr10:uidLastSave="{9890A798-3803-48B5-B395-41C920077865}"/>
  <bookViews>
    <workbookView xWindow="-120" yWindow="-120" windowWidth="29040" windowHeight="15720" xr2:uid="{00000000-000D-0000-FFFF-FFFF00000000}"/>
  </bookViews>
  <sheets>
    <sheet name="26공연" sheetId="6" r:id="rId1"/>
    <sheet name="25전시" sheetId="7" r:id="rId2"/>
    <sheet name="25교육" sheetId="12" r:id="rId3"/>
    <sheet name="26 문화나눔" sheetId="14" r:id="rId4"/>
    <sheet name="Sheet1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6" l="1"/>
  <c r="N8" i="6"/>
  <c r="M8" i="6"/>
  <c r="J8" i="6"/>
  <c r="I8" i="6"/>
  <c r="O37" i="6"/>
  <c r="N37" i="6"/>
  <c r="M37" i="6"/>
  <c r="J37" i="6"/>
  <c r="I37" i="6"/>
  <c r="G37" i="6"/>
  <c r="G8" i="6" s="1"/>
  <c r="F37" i="6"/>
  <c r="E37" i="6"/>
  <c r="H42" i="6"/>
  <c r="H43" i="6"/>
  <c r="H44" i="6"/>
  <c r="P24" i="6"/>
  <c r="P11" i="6"/>
  <c r="P12" i="6"/>
  <c r="P13" i="6"/>
  <c r="P14" i="6"/>
  <c r="P15" i="6"/>
  <c r="P16" i="6"/>
  <c r="P17" i="6"/>
  <c r="P18" i="6"/>
  <c r="L24" i="6"/>
  <c r="L11" i="6"/>
  <c r="L15" i="6"/>
  <c r="L16" i="6"/>
  <c r="L17" i="6"/>
  <c r="J12" i="12" l="1"/>
  <c r="J11" i="12"/>
  <c r="J10" i="12"/>
  <c r="J8" i="12"/>
  <c r="J7" i="12"/>
  <c r="J6" i="12"/>
  <c r="J5" i="12"/>
  <c r="M13" i="7"/>
  <c r="M12" i="7"/>
  <c r="M11" i="7"/>
  <c r="M10" i="7"/>
  <c r="M9" i="7"/>
  <c r="M8" i="7"/>
  <c r="M7" i="7"/>
  <c r="M6" i="7"/>
  <c r="M5" i="7"/>
  <c r="P44" i="6" l="1"/>
  <c r="L18" i="6"/>
  <c r="L35" i="12"/>
  <c r="L30" i="12"/>
  <c r="L25" i="12"/>
  <c r="L20" i="12"/>
  <c r="K28" i="12"/>
  <c r="K25" i="12"/>
  <c r="D9" i="12"/>
  <c r="D13" i="12" s="1"/>
  <c r="G37" i="12"/>
  <c r="F37" i="12"/>
  <c r="E37" i="12"/>
  <c r="H37" i="12" l="1"/>
  <c r="K37" i="12" s="1"/>
  <c r="H36" i="12"/>
  <c r="K36" i="12" s="1"/>
  <c r="H35" i="12"/>
  <c r="K35" i="12" s="1"/>
  <c r="H31" i="12"/>
  <c r="K31" i="12" s="1"/>
  <c r="H32" i="12"/>
  <c r="K32" i="12" s="1"/>
  <c r="H33" i="12"/>
  <c r="K33" i="12" s="1"/>
  <c r="H30" i="12"/>
  <c r="K30" i="12" s="1"/>
  <c r="H26" i="12"/>
  <c r="H27" i="12"/>
  <c r="H28" i="12"/>
  <c r="H29" i="12"/>
  <c r="H25" i="12"/>
  <c r="H21" i="12"/>
  <c r="K21" i="12" s="1"/>
  <c r="H22" i="12"/>
  <c r="K22" i="12" s="1"/>
  <c r="H23" i="12"/>
  <c r="K23" i="12" s="1"/>
  <c r="H24" i="12"/>
  <c r="H20" i="12"/>
  <c r="K20" i="12" s="1"/>
  <c r="D37" i="12"/>
  <c r="L12" i="7"/>
  <c r="F27" i="6"/>
  <c r="I37" i="12" l="1"/>
  <c r="L37" i="12" s="1"/>
  <c r="O18" i="6"/>
  <c r="L14" i="6"/>
  <c r="O14" i="6"/>
  <c r="E7" i="12"/>
  <c r="H12" i="12"/>
  <c r="H11" i="12"/>
  <c r="H10" i="12"/>
  <c r="I9" i="12"/>
  <c r="I13" i="12" s="1"/>
  <c r="F9" i="12"/>
  <c r="J9" i="12" s="1"/>
  <c r="H8" i="12"/>
  <c r="H7" i="12"/>
  <c r="H6" i="12"/>
  <c r="H5" i="12"/>
  <c r="I12" i="7"/>
  <c r="P10" i="6"/>
  <c r="H9" i="12" l="1"/>
  <c r="E10" i="12"/>
  <c r="E12" i="12"/>
  <c r="F13" i="12"/>
  <c r="E11" i="12"/>
  <c r="E8" i="12"/>
  <c r="E6" i="12"/>
  <c r="E9" i="12"/>
  <c r="E5" i="12"/>
  <c r="F5" i="14"/>
  <c r="E5" i="14"/>
  <c r="L10" i="6"/>
  <c r="O10" i="6"/>
  <c r="L8" i="6"/>
  <c r="O8" i="6"/>
  <c r="P8" i="6"/>
  <c r="V14" i="6"/>
  <c r="P23" i="6"/>
  <c r="O23" i="6"/>
  <c r="L23" i="6"/>
  <c r="P43" i="6"/>
  <c r="P42" i="6"/>
  <c r="H35" i="6"/>
  <c r="H36" i="6"/>
  <c r="H13" i="12" l="1"/>
  <c r="J13" i="12"/>
  <c r="G7" i="12"/>
  <c r="G5" i="12"/>
  <c r="G11" i="12"/>
  <c r="G6" i="12"/>
  <c r="G9" i="12"/>
  <c r="G10" i="12"/>
  <c r="P22" i="6"/>
  <c r="L22" i="6"/>
  <c r="O22" i="6"/>
  <c r="G45" i="6"/>
  <c r="G20" i="6" s="1"/>
  <c r="D18" i="14"/>
  <c r="F18" i="14"/>
  <c r="E18" i="14"/>
  <c r="H34" i="6"/>
  <c r="N45" i="6"/>
  <c r="N20" i="6" s="1"/>
  <c r="M45" i="6"/>
  <c r="M20" i="6" s="1"/>
  <c r="I45" i="6"/>
  <c r="I20" i="6" s="1"/>
  <c r="I30" i="6" s="1"/>
  <c r="E45" i="6"/>
  <c r="F45" i="6"/>
  <c r="O44" i="6"/>
  <c r="O43" i="6"/>
  <c r="O42" i="6"/>
  <c r="L43" i="6"/>
  <c r="K43" i="6"/>
  <c r="P41" i="6"/>
  <c r="P35" i="6"/>
  <c r="P36" i="6"/>
  <c r="P34" i="6"/>
  <c r="L9" i="6"/>
  <c r="L12" i="6"/>
  <c r="L44" i="6"/>
  <c r="K44" i="6"/>
  <c r="O41" i="6"/>
  <c r="H41" i="6"/>
  <c r="O36" i="6"/>
  <c r="K36" i="6"/>
  <c r="L36" i="6"/>
  <c r="O35" i="6"/>
  <c r="K35" i="6"/>
  <c r="L35" i="6"/>
  <c r="O34" i="6"/>
  <c r="K34" i="6"/>
  <c r="L34" i="6"/>
  <c r="L37" i="6" s="1"/>
  <c r="K41" i="6" l="1"/>
  <c r="L41" i="6"/>
  <c r="G27" i="6"/>
  <c r="Q34" i="6"/>
  <c r="O45" i="6"/>
  <c r="J45" i="6"/>
  <c r="J20" i="6" s="1"/>
  <c r="J30" i="6" s="1"/>
  <c r="K42" i="6"/>
  <c r="H14" i="6" l="1"/>
  <c r="H17" i="6"/>
  <c r="H24" i="6"/>
  <c r="H15" i="6"/>
  <c r="H11" i="6"/>
  <c r="H13" i="6"/>
  <c r="H19" i="6"/>
  <c r="H12" i="6"/>
  <c r="H8" i="6"/>
  <c r="H10" i="6"/>
  <c r="L45" i="6"/>
  <c r="H23" i="6"/>
  <c r="H7" i="6"/>
  <c r="H22" i="6"/>
  <c r="H6" i="6"/>
  <c r="H21" i="6"/>
  <c r="H20" i="6"/>
  <c r="H9" i="6"/>
  <c r="O19" i="6"/>
  <c r="P19" i="6"/>
  <c r="L19" i="6"/>
  <c r="E27" i="6" l="1"/>
  <c r="P21" i="6" l="1"/>
  <c r="O21" i="6"/>
  <c r="L21" i="6"/>
  <c r="P20" i="6"/>
  <c r="O20" i="6"/>
  <c r="L20" i="6"/>
  <c r="G30" i="6" l="1"/>
  <c r="Q30" i="6" s="1"/>
  <c r="Q20" i="6" s="1"/>
  <c r="I29" i="6"/>
  <c r="G29" i="6"/>
  <c r="I27" i="6"/>
  <c r="P26" i="6"/>
  <c r="O26" i="6"/>
  <c r="L26" i="6"/>
  <c r="V25" i="6"/>
  <c r="P25" i="6"/>
  <c r="O25" i="6"/>
  <c r="L25" i="6"/>
  <c r="V18" i="6"/>
  <c r="U13" i="6"/>
  <c r="T13" i="6"/>
  <c r="S13" i="6"/>
  <c r="O13" i="6"/>
  <c r="L13" i="6"/>
  <c r="V12" i="6"/>
  <c r="O12" i="6"/>
  <c r="V9" i="6"/>
  <c r="P9" i="6"/>
  <c r="O9" i="6"/>
  <c r="V7" i="6"/>
  <c r="O7" i="6"/>
  <c r="M27" i="6"/>
  <c r="V6" i="6"/>
  <c r="P6" i="6"/>
  <c r="O6" i="6"/>
  <c r="L6" i="6"/>
  <c r="H18" i="6" l="1"/>
  <c r="H16" i="6"/>
  <c r="H26" i="6"/>
  <c r="V13" i="6"/>
  <c r="O27" i="6"/>
  <c r="P7" i="6"/>
  <c r="J29" i="6"/>
  <c r="L7" i="6"/>
  <c r="L27" i="6" s="1"/>
  <c r="J27" i="6"/>
  <c r="N27" i="6"/>
  <c r="H25" i="6"/>
  <c r="K14" i="7"/>
  <c r="J14" i="7"/>
  <c r="G14" i="7"/>
  <c r="F14" i="7"/>
  <c r="D14" i="7"/>
  <c r="C14" i="7"/>
  <c r="L13" i="7"/>
  <c r="I13" i="7"/>
  <c r="L11" i="7"/>
  <c r="I11" i="7"/>
  <c r="L10" i="7"/>
  <c r="I10" i="7"/>
  <c r="L9" i="7"/>
  <c r="I9" i="7"/>
  <c r="L8" i="7"/>
  <c r="I8" i="7"/>
  <c r="L7" i="7"/>
  <c r="I7" i="7"/>
  <c r="L6" i="7"/>
  <c r="I6" i="7"/>
  <c r="L5" i="7"/>
  <c r="I5" i="7"/>
  <c r="K16" i="6" l="1"/>
  <c r="K24" i="6"/>
  <c r="Q29" i="6"/>
  <c r="Q6" i="6" s="1"/>
  <c r="K14" i="6"/>
  <c r="K23" i="6"/>
  <c r="K17" i="6"/>
  <c r="K15" i="6"/>
  <c r="K11" i="6"/>
  <c r="Q27" i="6"/>
  <c r="K18" i="6"/>
  <c r="E10" i="7"/>
  <c r="E9" i="7"/>
  <c r="E5" i="7"/>
  <c r="E13" i="7"/>
  <c r="E8" i="7"/>
  <c r="E12" i="7"/>
  <c r="E7" i="7"/>
  <c r="E11" i="7"/>
  <c r="E6" i="7"/>
  <c r="M14" i="7"/>
  <c r="H9" i="7"/>
  <c r="H11" i="7"/>
  <c r="H13" i="7"/>
  <c r="H7" i="7"/>
  <c r="H5" i="7"/>
  <c r="H12" i="7"/>
  <c r="H6" i="7"/>
  <c r="H10" i="7"/>
  <c r="H8" i="7"/>
  <c r="K8" i="6"/>
  <c r="K10" i="6"/>
  <c r="K6" i="6"/>
  <c r="K22" i="6"/>
  <c r="K21" i="6"/>
  <c r="K20" i="6"/>
  <c r="K7" i="6"/>
  <c r="K9" i="6"/>
  <c r="K19" i="6"/>
  <c r="H27" i="6"/>
  <c r="P27" i="6"/>
  <c r="K13" i="6"/>
  <c r="K25" i="6"/>
  <c r="K12" i="6"/>
  <c r="K26" i="6"/>
  <c r="L14" i="7"/>
  <c r="I14" i="7"/>
  <c r="E14" i="7" l="1"/>
  <c r="K27" i="6"/>
  <c r="H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tc={357923EE-2AF2-4D40-B3AD-B0B2C1049E74}</author>
  </authors>
  <commentList>
    <comment ref="L4" authorId="0" shapeId="0" xr:uid="{357923EE-2AF2-4D40-B3AD-B0B2C1049E7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김해진</author>
  </authors>
  <commentList>
    <comment ref="G8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티켓매출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브런치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+MD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</text>
    </comment>
    <comment ref="G22" authorId="0" shapeId="0" xr:uid="{2561B764-8FED-427C-BCEE-D168F32F6467}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티켓매출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브런치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+MD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</text>
    </comment>
  </commentList>
</comments>
</file>

<file path=xl/sharedStrings.xml><?xml version="1.0" encoding="utf-8"?>
<sst xmlns="http://schemas.openxmlformats.org/spreadsheetml/2006/main" count="280" uniqueCount="176">
  <si>
    <t>(단위 : 천원)</t>
    <phoneticPr fontId="2" type="noConversion"/>
  </si>
  <si>
    <t>구분</t>
    <phoneticPr fontId="2" type="noConversion"/>
  </si>
  <si>
    <t>진행월</t>
    <phoneticPr fontId="2" type="noConversion"/>
  </si>
  <si>
    <t>횟수</t>
    <phoneticPr fontId="2" type="noConversion"/>
  </si>
  <si>
    <t>예산</t>
    <phoneticPr fontId="2" type="noConversion"/>
  </si>
  <si>
    <t>지출</t>
    <phoneticPr fontId="2" type="noConversion"/>
  </si>
  <si>
    <t>판매
수수료</t>
    <phoneticPr fontId="2" type="noConversion"/>
  </si>
  <si>
    <t>매출</t>
    <phoneticPr fontId="2" type="noConversion"/>
  </si>
  <si>
    <t xml:space="preserve">차액
(a-b) </t>
    <phoneticPr fontId="2" type="noConversion"/>
  </si>
  <si>
    <t>인원수</t>
    <phoneticPr fontId="2" type="noConversion"/>
  </si>
  <si>
    <t>수익율</t>
    <phoneticPr fontId="2" type="noConversion"/>
  </si>
  <si>
    <t>전표실적(a)</t>
    <phoneticPr fontId="2" type="noConversion"/>
  </si>
  <si>
    <t>비율</t>
    <phoneticPr fontId="2" type="noConversion"/>
  </si>
  <si>
    <t>정산서(b)</t>
    <phoneticPr fontId="2" type="noConversion"/>
  </si>
  <si>
    <t>판매</t>
    <phoneticPr fontId="2" type="noConversion"/>
  </si>
  <si>
    <t>초대</t>
    <phoneticPr fontId="2" type="noConversion"/>
  </si>
  <si>
    <t>계</t>
    <phoneticPr fontId="2" type="noConversion"/>
  </si>
  <si>
    <t xml:space="preserve">예
술
성
</t>
    <phoneticPr fontId="2" type="noConversion"/>
  </si>
  <si>
    <t>신년음악회</t>
    <phoneticPr fontId="2" type="noConversion"/>
  </si>
  <si>
    <t>1월</t>
    <phoneticPr fontId="2" type="noConversion"/>
  </si>
  <si>
    <t>브런치 1</t>
    <phoneticPr fontId="2" type="noConversion"/>
  </si>
  <si>
    <t>브런치 2</t>
    <phoneticPr fontId="2" type="noConversion"/>
  </si>
  <si>
    <t>4월</t>
    <phoneticPr fontId="2" type="noConversion"/>
  </si>
  <si>
    <t>브런치 3</t>
    <phoneticPr fontId="2" type="noConversion"/>
  </si>
  <si>
    <t>5월</t>
    <phoneticPr fontId="2" type="noConversion"/>
  </si>
  <si>
    <t>브런치 4</t>
    <phoneticPr fontId="2" type="noConversion"/>
  </si>
  <si>
    <t>실내악 2</t>
    <phoneticPr fontId="2" type="noConversion"/>
  </si>
  <si>
    <t>12월</t>
  </si>
  <si>
    <t>실내악 1</t>
    <phoneticPr fontId="2" type="noConversion"/>
  </si>
  <si>
    <t>상
업
성</t>
    <phoneticPr fontId="2" type="noConversion"/>
  </si>
  <si>
    <t>6월</t>
    <phoneticPr fontId="2" type="noConversion"/>
  </si>
  <si>
    <t>9월</t>
  </si>
  <si>
    <t>2월</t>
    <phoneticPr fontId="2" type="noConversion"/>
  </si>
  <si>
    <t>11월</t>
    <phoneticPr fontId="2" type="noConversion"/>
  </si>
  <si>
    <t>무풍</t>
    <phoneticPr fontId="2" type="noConversion"/>
  </si>
  <si>
    <t>합계</t>
    <phoneticPr fontId="2" type="noConversion"/>
  </si>
  <si>
    <t>5월</t>
  </si>
  <si>
    <t>정산서</t>
  </si>
  <si>
    <t>브런치패키지</t>
  </si>
  <si>
    <t>전시패키지</t>
  </si>
  <si>
    <t>실매출</t>
  </si>
  <si>
    <t>2025 전시사업 운영 결과</t>
    <phoneticPr fontId="2" type="noConversion"/>
  </si>
  <si>
    <t>2026.01.25 수정</t>
    <phoneticPr fontId="2" type="noConversion"/>
  </si>
  <si>
    <t>유료
관람객</t>
    <phoneticPr fontId="2" type="noConversion"/>
  </si>
  <si>
    <t>무료
관람객</t>
    <phoneticPr fontId="2" type="noConversion"/>
  </si>
  <si>
    <t>관람객
합계</t>
    <phoneticPr fontId="2" type="noConversion"/>
  </si>
  <si>
    <t>어린이 미술전 &lt;냠냠&gt;</t>
    <phoneticPr fontId="2" type="noConversion"/>
  </si>
  <si>
    <t>6기 프리뷰전</t>
    <phoneticPr fontId="2" type="noConversion"/>
  </si>
  <si>
    <t>장도 기획전시 &lt;HELLO, 고래야&gt;</t>
    <phoneticPr fontId="2" type="noConversion"/>
  </si>
  <si>
    <t>예울마루 위크</t>
    <phoneticPr fontId="2" type="noConversion"/>
  </si>
  <si>
    <t>여름방학 공동 기획전시</t>
    <phoneticPr fontId="2" type="noConversion"/>
  </si>
  <si>
    <t>6기 단기 입주작가전</t>
    <phoneticPr fontId="2" type="noConversion"/>
  </si>
  <si>
    <t>금호 협력기획전</t>
    <phoneticPr fontId="2" type="noConversion"/>
  </si>
  <si>
    <t>6기 입주작가전</t>
    <phoneticPr fontId="2" type="noConversion"/>
  </si>
  <si>
    <t>지역작가 공모전</t>
    <phoneticPr fontId="2" type="noConversion"/>
  </si>
  <si>
    <t>2026.01.25 원문</t>
    <phoneticPr fontId="2" type="noConversion"/>
  </si>
  <si>
    <t>판매수수료</t>
    <phoneticPr fontId="2" type="noConversion"/>
  </si>
  <si>
    <t>유료</t>
    <phoneticPr fontId="2" type="noConversion"/>
  </si>
  <si>
    <t>무료</t>
    <phoneticPr fontId="2" type="noConversion"/>
  </si>
  <si>
    <t>총액대비 비율</t>
    <phoneticPr fontId="2" type="noConversion"/>
  </si>
  <si>
    <t>정산서 기준(b)</t>
    <phoneticPr fontId="2" type="noConversion"/>
  </si>
  <si>
    <t>2025 교육사업 운영결과</t>
    <phoneticPr fontId="2" type="noConversion"/>
  </si>
  <si>
    <t>(단위 : 천원, 명, %)</t>
  </si>
  <si>
    <t>예산</t>
  </si>
  <si>
    <t>지출</t>
  </si>
  <si>
    <t>매출</t>
  </si>
  <si>
    <t>차액</t>
  </si>
  <si>
    <t>수강인원</t>
  </si>
  <si>
    <t>수익률*</t>
    <phoneticPr fontId="2" type="noConversion"/>
  </si>
  <si>
    <t>전표실적(a)</t>
  </si>
  <si>
    <t>정산서 기준(b)</t>
  </si>
  <si>
    <t>(a-b)</t>
  </si>
  <si>
    <t>화요살롱</t>
  </si>
  <si>
    <t>아트스쿨</t>
  </si>
  <si>
    <t>아트클럽</t>
  </si>
  <si>
    <t>공통예산</t>
  </si>
  <si>
    <t>-</t>
    <phoneticPr fontId="2" type="noConversion"/>
  </si>
  <si>
    <t>클래스 사업비 소계</t>
  </si>
  <si>
    <t>희망에너지교실</t>
  </si>
  <si>
    <t>새롬교실</t>
  </si>
  <si>
    <t>판매수수료</t>
  </si>
  <si>
    <t>-</t>
  </si>
  <si>
    <t>합 계</t>
  </si>
  <si>
    <t xml:space="preserve">*수익률은 판매수수료를 지출에 포함한 계산값 </t>
    <phoneticPr fontId="2" type="noConversion"/>
  </si>
  <si>
    <t>2025 교육사업 세부내용</t>
    <phoneticPr fontId="2" type="noConversion"/>
  </si>
  <si>
    <t>(단위 : 원, 명, %)</t>
    <phoneticPr fontId="2" type="noConversion"/>
  </si>
  <si>
    <t>프로그램</t>
    <phoneticPr fontId="2" type="noConversion"/>
  </si>
  <si>
    <t>수강인원</t>
    <phoneticPr fontId="2" type="noConversion"/>
  </si>
  <si>
    <t>수익율 소계</t>
    <phoneticPr fontId="2" type="noConversion"/>
  </si>
  <si>
    <t>예산기안</t>
    <phoneticPr fontId="2" type="noConversion"/>
  </si>
  <si>
    <t>실제집행</t>
    <phoneticPr fontId="2" type="noConversion"/>
  </si>
  <si>
    <t>판매수수료(A)</t>
    <phoneticPr fontId="2" type="noConversion"/>
  </si>
  <si>
    <t>순 매출(B)</t>
    <phoneticPr fontId="2" type="noConversion"/>
  </si>
  <si>
    <t>수입(A+B)</t>
    <phoneticPr fontId="2" type="noConversion"/>
  </si>
  <si>
    <t>수입소계</t>
    <phoneticPr fontId="2" type="noConversion"/>
  </si>
  <si>
    <t>화요살롱</t>
    <phoneticPr fontId="2" type="noConversion"/>
  </si>
  <si>
    <t>이연</t>
    <phoneticPr fontId="2" type="noConversion"/>
  </si>
  <si>
    <t>이슬아</t>
    <phoneticPr fontId="2" type="noConversion"/>
  </si>
  <si>
    <t>장진</t>
    <phoneticPr fontId="2" type="noConversion"/>
  </si>
  <si>
    <t>우주먼지</t>
    <phoneticPr fontId="2" type="noConversion"/>
  </si>
  <si>
    <t>전회차</t>
    <phoneticPr fontId="2" type="noConversion"/>
  </si>
  <si>
    <t>아트스쿨</t>
    <phoneticPr fontId="2" type="noConversion"/>
  </si>
  <si>
    <t>어린이뮤지컬(화요)</t>
    <phoneticPr fontId="2" type="noConversion"/>
  </si>
  <si>
    <t>어린이뮤지컬(수요)</t>
    <phoneticPr fontId="2" type="noConversion"/>
  </si>
  <si>
    <t>어린이뮤지컬(영어)</t>
    <phoneticPr fontId="2" type="noConversion"/>
  </si>
  <si>
    <t>키즈발레4-5세</t>
    <phoneticPr fontId="2" type="noConversion"/>
  </si>
  <si>
    <t>키즈발레6-7세</t>
    <phoneticPr fontId="2" type="noConversion"/>
  </si>
  <si>
    <t>아트클럽</t>
    <phoneticPr fontId="2" type="noConversion"/>
  </si>
  <si>
    <t>뮤지컬No.1</t>
    <phoneticPr fontId="2" type="noConversion"/>
  </si>
  <si>
    <t>월간드로잉1</t>
    <phoneticPr fontId="2" type="noConversion"/>
  </si>
  <si>
    <t>월간드로잉2</t>
    <phoneticPr fontId="2" type="noConversion"/>
  </si>
  <si>
    <t>월간드로잉3</t>
    <phoneticPr fontId="2" type="noConversion"/>
  </si>
  <si>
    <t>공통예산</t>
    <phoneticPr fontId="2" type="noConversion"/>
  </si>
  <si>
    <t>홍보비, 외주용역비 등</t>
    <phoneticPr fontId="2" type="noConversion"/>
  </si>
  <si>
    <t>공모사업</t>
    <phoneticPr fontId="2" type="noConversion"/>
  </si>
  <si>
    <t>희망에너지교실</t>
    <phoneticPr fontId="2" type="noConversion"/>
  </si>
  <si>
    <t>새롬교실</t>
    <phoneticPr fontId="2" type="noConversion"/>
  </si>
  <si>
    <t>합 계</t>
    <phoneticPr fontId="2" type="noConversion"/>
  </si>
  <si>
    <t>*수익률은 판매수수료를 수입에 포함한 계산값</t>
    <phoneticPr fontId="2" type="noConversion"/>
  </si>
  <si>
    <t>2025.10.22</t>
    <phoneticPr fontId="2" type="noConversion"/>
  </si>
  <si>
    <t>파트</t>
  </si>
  <si>
    <t>NO.</t>
  </si>
  <si>
    <t>콘텐츠명</t>
  </si>
  <si>
    <t>일시</t>
  </si>
  <si>
    <t>요청인원</t>
  </si>
  <si>
    <t>관람인원</t>
  </si>
  <si>
    <t>GSC인솔자</t>
  </si>
  <si>
    <t>비고</t>
  </si>
  <si>
    <t>공연</t>
  </si>
  <si>
    <t>계</t>
  </si>
  <si>
    <t>브런치콘서트</t>
  </si>
  <si>
    <t>2025. 3. 27(목) 11:00</t>
  </si>
  <si>
    <t>김한울</t>
  </si>
  <si>
    <t>다문화, 지역아동센터</t>
  </si>
  <si>
    <t>브런치콘서트</t>
    <phoneticPr fontId="2" type="noConversion"/>
  </si>
  <si>
    <t>아동센터, 복지관 등</t>
    <phoneticPr fontId="2" type="noConversion"/>
  </si>
  <si>
    <t>전시</t>
  </si>
  <si>
    <t>냠냠</t>
  </si>
  <si>
    <t>2025. 5. 14(수) 16:30</t>
  </si>
  <si>
    <t>삼육아동센터</t>
  </si>
  <si>
    <t>교육</t>
  </si>
  <si>
    <t>없음</t>
  </si>
  <si>
    <t>2026 공연사업 운영 결과</t>
    <phoneticPr fontId="2" type="noConversion"/>
  </si>
  <si>
    <t>4,6,9,12월</t>
    <phoneticPr fontId="2" type="noConversion"/>
  </si>
  <si>
    <t>공모사업(김영욱,춘자씨,그때도오늘)</t>
    <phoneticPr fontId="2" type="noConversion"/>
  </si>
  <si>
    <t>5/10/11월</t>
    <phoneticPr fontId="2" type="noConversion"/>
  </si>
  <si>
    <t>6/11월</t>
    <phoneticPr fontId="2" type="noConversion"/>
  </si>
  <si>
    <t>9월</t>
    <phoneticPr fontId="2" type="noConversion"/>
  </si>
  <si>
    <t>10월</t>
    <phoneticPr fontId="2" type="noConversion"/>
  </si>
  <si>
    <t>국립현대무용단</t>
    <phoneticPr fontId="2" type="noConversion"/>
  </si>
  <si>
    <t>피아노&amp;피아노</t>
    <phoneticPr fontId="2" type="noConversion"/>
  </si>
  <si>
    <t>청소년 뮤지컬(러커스 더 스쿨)</t>
    <phoneticPr fontId="2" type="noConversion"/>
  </si>
  <si>
    <t>12월</t>
    <phoneticPr fontId="2" type="noConversion"/>
  </si>
  <si>
    <t>클래식2(한국페스티발앙상블)</t>
    <phoneticPr fontId="2" type="noConversion"/>
  </si>
  <si>
    <t>클래식1(실내악페스티벌)</t>
    <phoneticPr fontId="2" type="noConversion"/>
  </si>
  <si>
    <t>클래식3(조재혁 리사이틀)</t>
    <phoneticPr fontId="2" type="noConversion"/>
  </si>
  <si>
    <t>아동극1(100층짜리 집)</t>
    <phoneticPr fontId="2" type="noConversion"/>
  </si>
  <si>
    <t>아동극2(미정)</t>
    <phoneticPr fontId="2" type="noConversion"/>
  </si>
  <si>
    <t>뮤지컬1(미세스 다웃파이어)</t>
    <phoneticPr fontId="2" type="noConversion"/>
  </si>
  <si>
    <t>뮤지컬2(그날들)</t>
    <phoneticPr fontId="2" type="noConversion"/>
  </si>
  <si>
    <t>헬로시리즈</t>
    <phoneticPr fontId="2" type="noConversion"/>
  </si>
  <si>
    <t>연극2(노인의 꿈)</t>
    <phoneticPr fontId="2" type="noConversion"/>
  </si>
  <si>
    <t>2회</t>
    <phoneticPr fontId="2" type="noConversion"/>
  </si>
  <si>
    <t>연극1(소극장, 미정)</t>
    <phoneticPr fontId="2" type="noConversion"/>
  </si>
  <si>
    <t>크리스마스1(호두까기)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</si>
  <si>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협력사업1</t>
    </r>
    <r>
      <rPr>
        <b/>
        <sz val="11"/>
        <color theme="1"/>
        <rFont val="맑은 고딕"/>
        <family val="3"/>
        <charset val="129"/>
        <scheme val="minor"/>
      </rPr>
      <t>(국립심포니오케스트라)</t>
    </r>
    <phoneticPr fontId="2" type="noConversion"/>
  </si>
  <si>
    <t>공모사업-김영욱×콜레기움 무지쿰 서울 &lt;8 Seasons&gt;</t>
    <phoneticPr fontId="2" type="noConversion"/>
  </si>
  <si>
    <t>공모사업-이상한 나라의 춘자씨</t>
    <phoneticPr fontId="2" type="noConversion"/>
  </si>
  <si>
    <t>공모사업-그때도 오늘</t>
    <phoneticPr fontId="2" type="noConversion"/>
  </si>
  <si>
    <t>브런치콘서트 &lt;클래식과 함께 하는 미술관여행 I&gt;</t>
    <phoneticPr fontId="2" type="noConversion"/>
  </si>
  <si>
    <t>브런치콘서트 &lt;클래식과 함께 하는 미술관여행 II&gt;</t>
    <phoneticPr fontId="2" type="noConversion"/>
  </si>
  <si>
    <t>브런치콘서트 &lt;찬란한 시작의 울림&gt;</t>
    <phoneticPr fontId="2" type="noConversion"/>
  </si>
  <si>
    <t>브런치콘서트 &lt;현 위로 흐르는 계절:열정과 고독 사이&gt;</t>
    <phoneticPr fontId="2" type="noConversion"/>
  </si>
  <si>
    <t>2026 문화나눔 운영 결과</t>
    <phoneticPr fontId="2" type="noConversion"/>
  </si>
  <si>
    <t>클래식4(피아노&amp;피아노)</t>
    <phoneticPr fontId="2" type="noConversion"/>
  </si>
  <si>
    <t>문화나눔콘서트(재단20주년 음악회)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</si>
</sst>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#&quot;회&quot;"/>
    <numFmt numFmtId="178" formatCode="#,##0,"/>
    <numFmt numFmtId="179" formatCode="#.0&quot;%&quot;"/>
    <numFmt numFmtId="180" formatCode="#&quot;명&quot;"/>
    <numFmt numFmtId="181" formatCode="0.0"/>
    <numFmt numFmtId="182" formatCode="0_);[Red]\(0\)"/>
    <numFmt numFmtId="183" formatCode="0.00_ "/>
    <numFmt numFmtId="184" formatCode="0.0%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6CBE"/>
      <name val="Consolas"/>
      <family val="3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6"/>
      <color rgb="FF00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EEEFDD"/>
        <bgColor rgb="FF000000"/>
      </patternFill>
    </fill>
    <fill>
      <patternFill patternType="solid">
        <fgColor rgb="FFEEEFDD"/>
        <bgColor indexed="64"/>
      </patternFill>
    </fill>
  </fills>
  <borders count="1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FF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/>
      <top style="medium">
        <color indexed="64"/>
      </top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theme="1" tint="0.499984740745262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41" fontId="0" fillId="0" borderId="0" xfId="1" applyFont="1">
      <alignment vertical="center"/>
    </xf>
    <xf numFmtId="41" fontId="4" fillId="0" borderId="0" xfId="1" applyFont="1">
      <alignment vertical="center"/>
    </xf>
    <xf numFmtId="41" fontId="3" fillId="0" borderId="0" xfId="0" applyNumberFormat="1" applyFont="1">
      <alignment vertical="center"/>
    </xf>
    <xf numFmtId="41" fontId="3" fillId="0" borderId="0" xfId="1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4" fillId="0" borderId="0" xfId="0" applyNumberFormat="1" applyFont="1">
      <alignment vertical="center"/>
    </xf>
    <xf numFmtId="0" fontId="5" fillId="2" borderId="7" xfId="0" applyFont="1" applyFill="1" applyBorder="1" applyAlignment="1">
      <alignment horizontal="center" vertical="center"/>
    </xf>
    <xf numFmtId="41" fontId="5" fillId="2" borderId="30" xfId="1" applyFont="1" applyFill="1" applyBorder="1">
      <alignment vertical="center"/>
    </xf>
    <xf numFmtId="41" fontId="5" fillId="2" borderId="29" xfId="1" applyFont="1" applyFill="1" applyBorder="1">
      <alignment vertical="center"/>
    </xf>
    <xf numFmtId="41" fontId="5" fillId="2" borderId="31" xfId="1" applyFont="1" applyFill="1" applyBorder="1">
      <alignment vertical="center"/>
    </xf>
    <xf numFmtId="41" fontId="5" fillId="2" borderId="32" xfId="1" applyFont="1" applyFill="1" applyBorder="1">
      <alignment vertical="center"/>
    </xf>
    <xf numFmtId="41" fontId="5" fillId="2" borderId="25" xfId="1" applyFont="1" applyFill="1" applyBorder="1">
      <alignment vertical="center"/>
    </xf>
    <xf numFmtId="41" fontId="5" fillId="2" borderId="33" xfId="0" applyNumberFormat="1" applyFont="1" applyFill="1" applyBorder="1">
      <alignment vertical="center"/>
    </xf>
    <xf numFmtId="41" fontId="5" fillId="2" borderId="30" xfId="0" applyNumberFormat="1" applyFont="1" applyFill="1" applyBorder="1">
      <alignment vertical="center"/>
    </xf>
    <xf numFmtId="41" fontId="5" fillId="2" borderId="25" xfId="0" applyNumberFormat="1" applyFont="1" applyFill="1" applyBorder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5" borderId="56" xfId="0" applyFont="1" applyFill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14" fillId="5" borderId="57" xfId="0" applyFont="1" applyFill="1" applyBorder="1" applyAlignment="1">
      <alignment horizontal="center" vertical="center" wrapText="1"/>
    </xf>
    <xf numFmtId="0" fontId="14" fillId="5" borderId="57" xfId="0" applyFont="1" applyFill="1" applyBorder="1" applyAlignment="1">
      <alignment horizontal="center" vertical="center"/>
    </xf>
    <xf numFmtId="0" fontId="14" fillId="5" borderId="58" xfId="0" applyFont="1" applyFill="1" applyBorder="1" applyAlignment="1">
      <alignment horizontal="center" vertical="center"/>
    </xf>
    <xf numFmtId="41" fontId="15" fillId="7" borderId="60" xfId="1" applyFont="1" applyFill="1" applyBorder="1" applyAlignment="1">
      <alignment horizontal="left" vertical="center"/>
    </xf>
    <xf numFmtId="177" fontId="15" fillId="7" borderId="61" xfId="1" applyNumberFormat="1" applyFont="1" applyFill="1" applyBorder="1" applyAlignment="1">
      <alignment horizontal="right" vertical="center"/>
    </xf>
    <xf numFmtId="178" fontId="15" fillId="7" borderId="62" xfId="1" applyNumberFormat="1" applyFont="1" applyFill="1" applyBorder="1" applyAlignment="1">
      <alignment horizontal="right" vertical="center"/>
    </xf>
    <xf numFmtId="178" fontId="15" fillId="7" borderId="60" xfId="1" applyNumberFormat="1" applyFont="1" applyFill="1" applyBorder="1" applyAlignment="1">
      <alignment horizontal="right" vertical="center"/>
    </xf>
    <xf numFmtId="179" fontId="15" fillId="7" borderId="60" xfId="1" applyNumberFormat="1" applyFont="1" applyFill="1" applyBorder="1">
      <alignment vertical="center"/>
    </xf>
    <xf numFmtId="178" fontId="15" fillId="7" borderId="61" xfId="1" applyNumberFormat="1" applyFont="1" applyFill="1" applyBorder="1" applyAlignment="1">
      <alignment horizontal="right" vertical="center"/>
    </xf>
    <xf numFmtId="180" fontId="15" fillId="7" borderId="62" xfId="1" applyNumberFormat="1" applyFont="1" applyFill="1" applyBorder="1">
      <alignment vertical="center"/>
    </xf>
    <xf numFmtId="180" fontId="15" fillId="7" borderId="60" xfId="1" applyNumberFormat="1" applyFont="1" applyFill="1" applyBorder="1">
      <alignment vertical="center"/>
    </xf>
    <xf numFmtId="180" fontId="15" fillId="7" borderId="61" xfId="1" applyNumberFormat="1" applyFont="1" applyFill="1" applyBorder="1">
      <alignment vertical="center"/>
    </xf>
    <xf numFmtId="179" fontId="15" fillId="7" borderId="49" xfId="1" applyNumberFormat="1" applyFont="1" applyFill="1" applyBorder="1">
      <alignment vertical="center"/>
    </xf>
    <xf numFmtId="41" fontId="15" fillId="7" borderId="64" xfId="1" applyFont="1" applyFill="1" applyBorder="1" applyAlignment="1">
      <alignment horizontal="left" vertical="center"/>
    </xf>
    <xf numFmtId="177" fontId="15" fillId="7" borderId="65" xfId="1" applyNumberFormat="1" applyFont="1" applyFill="1" applyBorder="1" applyAlignment="1">
      <alignment horizontal="right" vertical="center"/>
    </xf>
    <xf numFmtId="178" fontId="15" fillId="7" borderId="66" xfId="1" applyNumberFormat="1" applyFont="1" applyFill="1" applyBorder="1" applyAlignment="1">
      <alignment horizontal="right" vertical="center"/>
    </xf>
    <xf numFmtId="178" fontId="15" fillId="7" borderId="64" xfId="1" applyNumberFormat="1" applyFont="1" applyFill="1" applyBorder="1" applyAlignment="1">
      <alignment horizontal="right" vertical="center"/>
    </xf>
    <xf numFmtId="179" fontId="15" fillId="7" borderId="64" xfId="1" applyNumberFormat="1" applyFont="1" applyFill="1" applyBorder="1">
      <alignment vertical="center"/>
    </xf>
    <xf numFmtId="178" fontId="15" fillId="7" borderId="65" xfId="1" applyNumberFormat="1" applyFont="1" applyFill="1" applyBorder="1" applyAlignment="1">
      <alignment horizontal="right" vertical="center"/>
    </xf>
    <xf numFmtId="180" fontId="15" fillId="7" borderId="66" xfId="1" applyNumberFormat="1" applyFont="1" applyFill="1" applyBorder="1">
      <alignment vertical="center"/>
    </xf>
    <xf numFmtId="180" fontId="15" fillId="7" borderId="64" xfId="1" applyNumberFormat="1" applyFont="1" applyFill="1" applyBorder="1">
      <alignment vertical="center"/>
    </xf>
    <xf numFmtId="180" fontId="15" fillId="7" borderId="65" xfId="1" applyNumberFormat="1" applyFont="1" applyFill="1" applyBorder="1">
      <alignment vertical="center"/>
    </xf>
    <xf numFmtId="179" fontId="15" fillId="7" borderId="67" xfId="1" applyNumberFormat="1" applyFont="1" applyFill="1" applyBorder="1">
      <alignment vertical="center"/>
    </xf>
    <xf numFmtId="41" fontId="15" fillId="7" borderId="69" xfId="1" applyFont="1" applyFill="1" applyBorder="1" applyAlignment="1">
      <alignment horizontal="left" vertical="center"/>
    </xf>
    <xf numFmtId="177" fontId="15" fillId="7" borderId="70" xfId="1" applyNumberFormat="1" applyFont="1" applyFill="1" applyBorder="1" applyAlignment="1">
      <alignment horizontal="right" vertical="center"/>
    </xf>
    <xf numFmtId="178" fontId="15" fillId="7" borderId="71" xfId="1" applyNumberFormat="1" applyFont="1" applyFill="1" applyBorder="1" applyAlignment="1">
      <alignment horizontal="right" vertical="center"/>
    </xf>
    <xf numFmtId="178" fontId="15" fillId="7" borderId="69" xfId="1" applyNumberFormat="1" applyFont="1" applyFill="1" applyBorder="1" applyAlignment="1">
      <alignment horizontal="right" vertical="center"/>
    </xf>
    <xf numFmtId="179" fontId="15" fillId="7" borderId="69" xfId="1" applyNumberFormat="1" applyFont="1" applyFill="1" applyBorder="1">
      <alignment vertical="center"/>
    </xf>
    <xf numFmtId="178" fontId="15" fillId="7" borderId="70" xfId="1" applyNumberFormat="1" applyFont="1" applyFill="1" applyBorder="1" applyAlignment="1">
      <alignment horizontal="right" vertical="center"/>
    </xf>
    <xf numFmtId="180" fontId="15" fillId="7" borderId="71" xfId="1" applyNumberFormat="1" applyFont="1" applyFill="1" applyBorder="1">
      <alignment vertical="center"/>
    </xf>
    <xf numFmtId="180" fontId="15" fillId="7" borderId="69" xfId="1" applyNumberFormat="1" applyFont="1" applyFill="1" applyBorder="1">
      <alignment vertical="center"/>
    </xf>
    <xf numFmtId="180" fontId="15" fillId="7" borderId="70" xfId="1" applyNumberFormat="1" applyFont="1" applyFill="1" applyBorder="1">
      <alignment vertical="center"/>
    </xf>
    <xf numFmtId="179" fontId="15" fillId="7" borderId="73" xfId="1" applyNumberFormat="1" applyFont="1" applyFill="1" applyBorder="1">
      <alignment vertical="center"/>
    </xf>
    <xf numFmtId="177" fontId="14" fillId="9" borderId="79" xfId="0" applyNumberFormat="1" applyFont="1" applyFill="1" applyBorder="1" applyAlignment="1">
      <alignment horizontal="right" vertical="center"/>
    </xf>
    <xf numFmtId="178" fontId="14" fillId="9" borderId="80" xfId="1" applyNumberFormat="1" applyFont="1" applyFill="1" applyBorder="1" applyAlignment="1">
      <alignment horizontal="right" vertical="center"/>
    </xf>
    <xf numFmtId="179" fontId="14" fillId="9" borderId="81" xfId="1" applyNumberFormat="1" applyFont="1" applyFill="1" applyBorder="1">
      <alignment vertical="center"/>
    </xf>
    <xf numFmtId="178" fontId="14" fillId="9" borderId="79" xfId="1" applyNumberFormat="1" applyFont="1" applyFill="1" applyBorder="1" applyAlignment="1">
      <alignment horizontal="right" vertical="center"/>
    </xf>
    <xf numFmtId="180" fontId="14" fillId="9" borderId="80" xfId="0" applyNumberFormat="1" applyFont="1" applyFill="1" applyBorder="1">
      <alignment vertical="center"/>
    </xf>
    <xf numFmtId="180" fontId="14" fillId="9" borderId="81" xfId="0" applyNumberFormat="1" applyFont="1" applyFill="1" applyBorder="1">
      <alignment vertical="center"/>
    </xf>
    <xf numFmtId="180" fontId="14" fillId="9" borderId="79" xfId="0" applyNumberFormat="1" applyFont="1" applyFill="1" applyBorder="1">
      <alignment vertical="center"/>
    </xf>
    <xf numFmtId="179" fontId="14" fillId="9" borderId="82" xfId="0" applyNumberFormat="1" applyFont="1" applyFill="1" applyBorder="1">
      <alignment vertical="center"/>
    </xf>
    <xf numFmtId="179" fontId="14" fillId="0" borderId="83" xfId="0" applyNumberFormat="1" applyFont="1" applyBorder="1" applyAlignment="1">
      <alignment horizontal="right" vertical="center"/>
    </xf>
    <xf numFmtId="178" fontId="4" fillId="0" borderId="0" xfId="0" applyNumberFormat="1" applyFont="1">
      <alignment vertical="center"/>
    </xf>
    <xf numFmtId="179" fontId="15" fillId="7" borderId="72" xfId="1" applyNumberFormat="1" applyFont="1" applyFill="1" applyBorder="1">
      <alignment vertical="center"/>
    </xf>
    <xf numFmtId="178" fontId="14" fillId="9" borderId="78" xfId="1" applyNumberFormat="1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5" borderId="63" xfId="0" applyFill="1" applyBorder="1" applyAlignment="1">
      <alignment horizontal="center" vertical="center" wrapText="1"/>
    </xf>
    <xf numFmtId="179" fontId="14" fillId="0" borderId="68" xfId="1" applyNumberFormat="1" applyFont="1" applyBorder="1" applyAlignment="1">
      <alignment horizontal="right" vertical="center"/>
    </xf>
    <xf numFmtId="180" fontId="15" fillId="7" borderId="69" xfId="1" applyNumberFormat="1" applyFont="1" applyFill="1" applyBorder="1" applyAlignment="1">
      <alignment horizontal="right" vertical="center"/>
    </xf>
    <xf numFmtId="179" fontId="0" fillId="7" borderId="69" xfId="1" applyNumberFormat="1" applyFont="1" applyFill="1" applyBorder="1">
      <alignment vertical="center"/>
    </xf>
    <xf numFmtId="178" fontId="0" fillId="7" borderId="65" xfId="1" applyNumberFormat="1" applyFont="1" applyFill="1" applyBorder="1" applyAlignment="1">
      <alignment horizontal="right" vertical="center"/>
    </xf>
    <xf numFmtId="41" fontId="0" fillId="7" borderId="92" xfId="1" applyFont="1" applyFill="1" applyBorder="1" applyAlignment="1">
      <alignment horizontal="left" vertical="center"/>
    </xf>
    <xf numFmtId="177" fontId="0" fillId="7" borderId="92" xfId="1" applyNumberFormat="1" applyFont="1" applyFill="1" applyBorder="1" applyAlignment="1">
      <alignment horizontal="right" vertical="center"/>
    </xf>
    <xf numFmtId="178" fontId="0" fillId="7" borderId="92" xfId="1" applyNumberFormat="1" applyFont="1" applyFill="1" applyBorder="1" applyAlignment="1">
      <alignment horizontal="right" vertical="center"/>
    </xf>
    <xf numFmtId="179" fontId="0" fillId="7" borderId="92" xfId="1" applyNumberFormat="1" applyFont="1" applyFill="1" applyBorder="1">
      <alignment vertical="center"/>
    </xf>
    <xf numFmtId="180" fontId="0" fillId="7" borderId="92" xfId="1" applyNumberFormat="1" applyFont="1" applyFill="1" applyBorder="1">
      <alignment vertical="center"/>
    </xf>
    <xf numFmtId="0" fontId="15" fillId="2" borderId="92" xfId="0" applyFont="1" applyFill="1" applyBorder="1" applyAlignment="1">
      <alignment horizontal="center" vertical="center"/>
    </xf>
    <xf numFmtId="0" fontId="15" fillId="2" borderId="92" xfId="0" applyFont="1" applyFill="1" applyBorder="1" applyAlignment="1">
      <alignment horizontal="center" vertical="center" wrapText="1"/>
    </xf>
    <xf numFmtId="0" fontId="0" fillId="0" borderId="92" xfId="0" applyBorder="1">
      <alignment vertical="center"/>
    </xf>
    <xf numFmtId="0" fontId="17" fillId="0" borderId="0" xfId="0" applyFont="1">
      <alignment vertical="center"/>
    </xf>
    <xf numFmtId="1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6" fillId="3" borderId="96" xfId="0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6" xfId="0" applyBorder="1">
      <alignment vertical="center"/>
    </xf>
    <xf numFmtId="0" fontId="0" fillId="0" borderId="96" xfId="0" applyBorder="1" applyAlignment="1">
      <alignment horizontal="right" vertical="center"/>
    </xf>
    <xf numFmtId="0" fontId="16" fillId="0" borderId="97" xfId="0" applyFont="1" applyBorder="1" applyAlignment="1">
      <alignment horizontal="center" vertical="center"/>
    </xf>
    <xf numFmtId="0" fontId="16" fillId="8" borderId="98" xfId="0" applyFont="1" applyFill="1" applyBorder="1" applyAlignment="1">
      <alignment horizontal="center" vertical="center"/>
    </xf>
    <xf numFmtId="0" fontId="16" fillId="8" borderId="100" xfId="0" applyFont="1" applyFill="1" applyBorder="1" applyAlignment="1">
      <alignment horizontal="center" vertical="center"/>
    </xf>
    <xf numFmtId="0" fontId="16" fillId="3" borderId="98" xfId="0" applyFont="1" applyFill="1" applyBorder="1" applyAlignment="1">
      <alignment horizontal="center" vertical="center"/>
    </xf>
    <xf numFmtId="0" fontId="16" fillId="10" borderId="100" xfId="0" applyFont="1" applyFill="1" applyBorder="1" applyAlignment="1">
      <alignment horizontal="center" vertical="center"/>
    </xf>
    <xf numFmtId="0" fontId="16" fillId="11" borderId="100" xfId="0" applyFont="1" applyFill="1" applyBorder="1">
      <alignment vertical="center"/>
    </xf>
    <xf numFmtId="0" fontId="16" fillId="11" borderId="99" xfId="0" applyFont="1" applyFill="1" applyBorder="1" applyAlignment="1">
      <alignment horizontal="center" vertical="center"/>
    </xf>
    <xf numFmtId="0" fontId="16" fillId="8" borderId="96" xfId="0" applyFont="1" applyFill="1" applyBorder="1">
      <alignment vertical="center"/>
    </xf>
    <xf numFmtId="0" fontId="16" fillId="8" borderId="96" xfId="0" applyFont="1" applyFill="1" applyBorder="1" applyAlignment="1">
      <alignment horizontal="right" vertical="center"/>
    </xf>
    <xf numFmtId="41" fontId="23" fillId="3" borderId="14" xfId="1" applyFont="1" applyFill="1" applyBorder="1">
      <alignment vertical="center"/>
    </xf>
    <xf numFmtId="41" fontId="23" fillId="3" borderId="28" xfId="1" applyFont="1" applyFill="1" applyBorder="1">
      <alignment vertical="center"/>
    </xf>
    <xf numFmtId="41" fontId="25" fillId="3" borderId="18" xfId="1" applyFont="1" applyFill="1" applyBorder="1">
      <alignment vertical="center"/>
    </xf>
    <xf numFmtId="41" fontId="23" fillId="0" borderId="15" xfId="1" applyFont="1" applyFill="1" applyBorder="1">
      <alignment vertical="center"/>
    </xf>
    <xf numFmtId="176" fontId="24" fillId="0" borderId="6" xfId="2" applyNumberFormat="1" applyFont="1" applyFill="1" applyBorder="1">
      <alignment vertical="center"/>
    </xf>
    <xf numFmtId="41" fontId="24" fillId="0" borderId="5" xfId="2" applyNumberFormat="1" applyFont="1" applyFill="1" applyBorder="1">
      <alignment vertical="center"/>
    </xf>
    <xf numFmtId="41" fontId="25" fillId="0" borderId="1" xfId="1" applyFont="1" applyFill="1" applyBorder="1">
      <alignment vertical="center"/>
    </xf>
    <xf numFmtId="41" fontId="23" fillId="0" borderId="15" xfId="1" applyFont="1" applyBorder="1">
      <alignment vertical="center"/>
    </xf>
    <xf numFmtId="176" fontId="23" fillId="0" borderId="6" xfId="1" applyNumberFormat="1" applyFont="1" applyBorder="1">
      <alignment vertical="center"/>
    </xf>
    <xf numFmtId="41" fontId="25" fillId="0" borderId="1" xfId="1" applyFont="1" applyBorder="1">
      <alignment vertical="center"/>
    </xf>
    <xf numFmtId="41" fontId="23" fillId="3" borderId="15" xfId="1" applyFont="1" applyFill="1" applyBorder="1">
      <alignment vertical="center"/>
    </xf>
    <xf numFmtId="176" fontId="23" fillId="3" borderId="6" xfId="1" applyNumberFormat="1" applyFont="1" applyFill="1" applyBorder="1">
      <alignment vertical="center"/>
    </xf>
    <xf numFmtId="41" fontId="25" fillId="3" borderId="1" xfId="1" applyFont="1" applyFill="1" applyBorder="1">
      <alignment vertical="center"/>
    </xf>
    <xf numFmtId="176" fontId="23" fillId="0" borderId="6" xfId="1" applyNumberFormat="1" applyFont="1" applyFill="1" applyBorder="1">
      <alignment vertical="center"/>
    </xf>
    <xf numFmtId="41" fontId="23" fillId="3" borderId="26" xfId="1" applyFont="1" applyFill="1" applyBorder="1">
      <alignment vertical="center"/>
    </xf>
    <xf numFmtId="41" fontId="23" fillId="3" borderId="11" xfId="1" applyFont="1" applyFill="1" applyBorder="1">
      <alignment vertical="center"/>
    </xf>
    <xf numFmtId="41" fontId="23" fillId="0" borderId="5" xfId="1" applyFont="1" applyBorder="1">
      <alignment vertical="center"/>
    </xf>
    <xf numFmtId="41" fontId="23" fillId="0" borderId="2" xfId="1" applyFont="1" applyBorder="1">
      <alignment vertical="center"/>
    </xf>
    <xf numFmtId="41" fontId="23" fillId="3" borderId="5" xfId="1" applyFont="1" applyFill="1" applyBorder="1">
      <alignment vertical="center"/>
    </xf>
    <xf numFmtId="41" fontId="23" fillId="3" borderId="2" xfId="1" applyFont="1" applyFill="1" applyBorder="1">
      <alignment vertical="center"/>
    </xf>
    <xf numFmtId="41" fontId="23" fillId="0" borderId="5" xfId="1" applyFont="1" applyFill="1" applyBorder="1">
      <alignment vertical="center"/>
    </xf>
    <xf numFmtId="41" fontId="23" fillId="0" borderId="2" xfId="1" applyFont="1" applyFill="1" applyBorder="1">
      <alignment vertical="center"/>
    </xf>
    <xf numFmtId="41" fontId="23" fillId="0" borderId="0" xfId="0" applyNumberFormat="1" applyFont="1">
      <alignment vertical="center"/>
    </xf>
    <xf numFmtId="41" fontId="25" fillId="3" borderId="26" xfId="2" applyNumberFormat="1" applyFont="1" applyFill="1" applyBorder="1">
      <alignment vertical="center"/>
    </xf>
    <xf numFmtId="176" fontId="25" fillId="3" borderId="27" xfId="2" applyNumberFormat="1" applyFont="1" applyFill="1" applyBorder="1">
      <alignment vertical="center"/>
    </xf>
    <xf numFmtId="41" fontId="25" fillId="3" borderId="14" xfId="2" applyNumberFormat="1" applyFont="1" applyFill="1" applyBorder="1">
      <alignment vertical="center"/>
    </xf>
    <xf numFmtId="41" fontId="25" fillId="0" borderId="15" xfId="2" applyNumberFormat="1" applyFont="1" applyFill="1" applyBorder="1">
      <alignment vertical="center"/>
    </xf>
    <xf numFmtId="176" fontId="25" fillId="0" borderId="6" xfId="2" applyNumberFormat="1" applyFont="1" applyFill="1" applyBorder="1">
      <alignment vertical="center"/>
    </xf>
    <xf numFmtId="41" fontId="25" fillId="3" borderId="15" xfId="2" applyNumberFormat="1" applyFont="1" applyFill="1" applyBorder="1">
      <alignment vertical="center"/>
    </xf>
    <xf numFmtId="181" fontId="23" fillId="3" borderId="21" xfId="1" applyNumberFormat="1" applyFont="1" applyFill="1" applyBorder="1">
      <alignment vertical="center"/>
    </xf>
    <xf numFmtId="181" fontId="23" fillId="0" borderId="22" xfId="1" applyNumberFormat="1" applyFont="1" applyBorder="1">
      <alignment vertical="center"/>
    </xf>
    <xf numFmtId="181" fontId="23" fillId="3" borderId="22" xfId="1" applyNumberFormat="1" applyFont="1" applyFill="1" applyBorder="1" applyAlignment="1">
      <alignment horizontal="right" vertical="center"/>
    </xf>
    <xf numFmtId="181" fontId="23" fillId="3" borderId="22" xfId="1" applyNumberFormat="1" applyFont="1" applyFill="1" applyBorder="1">
      <alignment vertical="center"/>
    </xf>
    <xf numFmtId="181" fontId="23" fillId="0" borderId="22" xfId="1" applyNumberFormat="1" applyFont="1" applyFill="1" applyBorder="1">
      <alignment vertical="center"/>
    </xf>
    <xf numFmtId="181" fontId="5" fillId="2" borderId="34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41" fontId="0" fillId="0" borderId="0" xfId="0" applyNumberFormat="1">
      <alignment vertical="center"/>
    </xf>
    <xf numFmtId="180" fontId="0" fillId="7" borderId="66" xfId="1" applyNumberFormat="1" applyFont="1" applyFill="1" applyBorder="1">
      <alignment vertical="center"/>
    </xf>
    <xf numFmtId="178" fontId="0" fillId="7" borderId="102" xfId="1" applyNumberFormat="1" applyFont="1" applyFill="1" applyBorder="1" applyAlignment="1">
      <alignment horizontal="right" vertical="center"/>
    </xf>
    <xf numFmtId="178" fontId="0" fillId="7" borderId="103" xfId="1" applyNumberFormat="1" applyFont="1" applyFill="1" applyBorder="1" applyAlignment="1">
      <alignment horizontal="right" vertical="center"/>
    </xf>
    <xf numFmtId="0" fontId="0" fillId="2" borderId="104" xfId="0" applyFill="1" applyBorder="1" applyAlignment="1">
      <alignment horizontal="center" vertical="center" wrapText="1"/>
    </xf>
    <xf numFmtId="3" fontId="19" fillId="0" borderId="0" xfId="0" applyNumberFormat="1" applyFont="1" applyAlignment="1">
      <alignment horizontal="right" vertical="center"/>
    </xf>
    <xf numFmtId="41" fontId="4" fillId="0" borderId="56" xfId="1" applyFont="1" applyBorder="1" applyAlignment="1">
      <alignment horizontal="center" vertical="center"/>
    </xf>
    <xf numFmtId="41" fontId="4" fillId="0" borderId="112" xfId="1" applyFont="1" applyBorder="1" applyAlignment="1">
      <alignment horizontal="center" vertical="center"/>
    </xf>
    <xf numFmtId="0" fontId="0" fillId="0" borderId="98" xfId="0" applyBorder="1" applyAlignment="1">
      <alignment horizontal="right" vertical="center"/>
    </xf>
    <xf numFmtId="0" fontId="0" fillId="0" borderId="100" xfId="0" applyBorder="1" applyAlignment="1">
      <alignment horizontal="right" vertical="center"/>
    </xf>
    <xf numFmtId="0" fontId="16" fillId="0" borderId="96" xfId="0" applyFont="1" applyBorder="1" applyAlignment="1">
      <alignment horizontal="center" vertical="center"/>
    </xf>
    <xf numFmtId="0" fontId="16" fillId="8" borderId="117" xfId="0" applyFont="1" applyFill="1" applyBorder="1" applyAlignment="1">
      <alignment horizontal="center" vertical="center"/>
    </xf>
    <xf numFmtId="0" fontId="16" fillId="0" borderId="118" xfId="0" applyFont="1" applyBorder="1" applyAlignment="1">
      <alignment horizontal="center" vertical="center"/>
    </xf>
    <xf numFmtId="0" fontId="0" fillId="0" borderId="98" xfId="0" applyBorder="1">
      <alignment vertical="center"/>
    </xf>
    <xf numFmtId="0" fontId="0" fillId="0" borderId="98" xfId="0" applyBorder="1" applyAlignment="1">
      <alignment horizontal="center" vertical="center"/>
    </xf>
    <xf numFmtId="0" fontId="0" fillId="0" borderId="96" xfId="0" applyBorder="1" applyAlignment="1">
      <alignment vertical="center" wrapText="1"/>
    </xf>
    <xf numFmtId="0" fontId="16" fillId="0" borderId="101" xfId="0" applyFont="1" applyBorder="1" applyAlignment="1">
      <alignment horizontal="center" vertical="center"/>
    </xf>
    <xf numFmtId="0" fontId="0" fillId="0" borderId="98" xfId="0" applyBorder="1" applyAlignment="1">
      <alignment vertical="center" wrapText="1"/>
    </xf>
    <xf numFmtId="0" fontId="16" fillId="10" borderId="119" xfId="0" applyFont="1" applyFill="1" applyBorder="1" applyAlignment="1">
      <alignment horizontal="center" vertical="center"/>
    </xf>
    <xf numFmtId="0" fontId="16" fillId="10" borderId="122" xfId="0" applyFont="1" applyFill="1" applyBorder="1">
      <alignment vertical="center"/>
    </xf>
    <xf numFmtId="0" fontId="16" fillId="10" borderId="122" xfId="0" applyFont="1" applyFill="1" applyBorder="1" applyAlignment="1">
      <alignment horizontal="right" vertical="center"/>
    </xf>
    <xf numFmtId="0" fontId="0" fillId="0" borderId="122" xfId="0" applyBorder="1" applyAlignment="1">
      <alignment horizontal="center" vertical="center"/>
    </xf>
    <xf numFmtId="0" fontId="0" fillId="0" borderId="122" xfId="0" applyBorder="1">
      <alignment vertical="center"/>
    </xf>
    <xf numFmtId="0" fontId="16" fillId="0" borderId="98" xfId="0" applyFont="1" applyBorder="1" applyAlignment="1">
      <alignment horizontal="center" vertical="center"/>
    </xf>
    <xf numFmtId="0" fontId="0" fillId="0" borderId="100" xfId="0" applyBorder="1">
      <alignment vertical="center"/>
    </xf>
    <xf numFmtId="0" fontId="0" fillId="0" borderId="100" xfId="0" applyBorder="1" applyAlignment="1">
      <alignment horizontal="center" vertical="center"/>
    </xf>
    <xf numFmtId="0" fontId="16" fillId="11" borderId="119" xfId="0" applyFont="1" applyFill="1" applyBorder="1" applyAlignment="1">
      <alignment horizontal="center" vertical="center"/>
    </xf>
    <xf numFmtId="0" fontId="16" fillId="11" borderId="122" xfId="0" applyFont="1" applyFill="1" applyBorder="1">
      <alignment vertical="center"/>
    </xf>
    <xf numFmtId="0" fontId="16" fillId="11" borderId="122" xfId="0" applyFont="1" applyFill="1" applyBorder="1" applyAlignment="1">
      <alignment horizontal="right" vertical="center"/>
    </xf>
    <xf numFmtId="41" fontId="29" fillId="0" borderId="112" xfId="1" applyFont="1" applyBorder="1" applyAlignment="1">
      <alignment horizontal="center" vertical="center"/>
    </xf>
    <xf numFmtId="178" fontId="0" fillId="7" borderId="69" xfId="1" applyNumberFormat="1" applyFont="1" applyFill="1" applyBorder="1" applyAlignment="1">
      <alignment horizontal="right" vertical="center"/>
    </xf>
    <xf numFmtId="181" fontId="25" fillId="0" borderId="22" xfId="2" applyNumberFormat="1" applyFont="1" applyFill="1" applyBorder="1">
      <alignment vertical="center"/>
    </xf>
    <xf numFmtId="176" fontId="25" fillId="3" borderId="6" xfId="2" applyNumberFormat="1" applyFont="1" applyFill="1" applyBorder="1">
      <alignment vertical="center"/>
    </xf>
    <xf numFmtId="41" fontId="29" fillId="0" borderId="56" xfId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4" fillId="0" borderId="113" xfId="1" applyFont="1" applyBorder="1" applyAlignment="1">
      <alignment horizontal="center" vertical="center"/>
    </xf>
    <xf numFmtId="41" fontId="4" fillId="0" borderId="18" xfId="1" applyFont="1" applyBorder="1" applyAlignment="1">
      <alignment horizontal="center" vertical="center"/>
    </xf>
    <xf numFmtId="41" fontId="29" fillId="0" borderId="69" xfId="1" applyFont="1" applyBorder="1" applyAlignment="1">
      <alignment horizontal="center" vertical="center"/>
    </xf>
    <xf numFmtId="178" fontId="0" fillId="7" borderId="66" xfId="1" applyNumberFormat="1" applyFont="1" applyFill="1" applyBorder="1" applyAlignment="1">
      <alignment horizontal="right" vertical="center"/>
    </xf>
    <xf numFmtId="180" fontId="0" fillId="7" borderId="64" xfId="1" applyNumberFormat="1" applyFont="1" applyFill="1" applyBorder="1">
      <alignment vertical="center"/>
    </xf>
    <xf numFmtId="180" fontId="0" fillId="7" borderId="65" xfId="1" applyNumberFormat="1" applyFont="1" applyFill="1" applyBorder="1">
      <alignment vertical="center"/>
    </xf>
    <xf numFmtId="180" fontId="15" fillId="7" borderId="123" xfId="1" applyNumberFormat="1" applyFont="1" applyFill="1" applyBorder="1">
      <alignment vertical="center"/>
    </xf>
    <xf numFmtId="179" fontId="0" fillId="7" borderId="64" xfId="1" applyNumberFormat="1" applyFont="1" applyFill="1" applyBorder="1">
      <alignment vertical="center"/>
    </xf>
    <xf numFmtId="0" fontId="20" fillId="12" borderId="114" xfId="0" applyFont="1" applyFill="1" applyBorder="1">
      <alignment vertical="center"/>
    </xf>
    <xf numFmtId="178" fontId="0" fillId="7" borderId="64" xfId="1" applyNumberFormat="1" applyFont="1" applyFill="1" applyBorder="1" applyAlignment="1">
      <alignment horizontal="right" vertical="center"/>
    </xf>
    <xf numFmtId="180" fontId="0" fillId="7" borderId="75" xfId="1" applyNumberFormat="1" applyFont="1" applyFill="1" applyBorder="1">
      <alignment vertical="center"/>
    </xf>
    <xf numFmtId="180" fontId="0" fillId="7" borderId="73" xfId="1" applyNumberFormat="1" applyFont="1" applyFill="1" applyBorder="1">
      <alignment vertical="center"/>
    </xf>
    <xf numFmtId="180" fontId="0" fillId="7" borderId="74" xfId="1" applyNumberFormat="1" applyFont="1" applyFill="1" applyBorder="1">
      <alignment vertical="center"/>
    </xf>
    <xf numFmtId="178" fontId="33" fillId="0" borderId="66" xfId="1" applyNumberFormat="1" applyFont="1" applyFill="1" applyBorder="1" applyAlignment="1">
      <alignment horizontal="right" vertical="center"/>
    </xf>
    <xf numFmtId="178" fontId="0" fillId="7" borderId="0" xfId="1" applyNumberFormat="1" applyFont="1" applyFill="1" applyBorder="1" applyAlignment="1">
      <alignment horizontal="right" vertical="center"/>
    </xf>
    <xf numFmtId="178" fontId="28" fillId="0" borderId="0" xfId="1" applyNumberFormat="1" applyFont="1" applyBorder="1" applyAlignment="1">
      <alignment horizontal="right" vertical="center"/>
    </xf>
    <xf numFmtId="178" fontId="33" fillId="0" borderId="0" xfId="1" applyNumberFormat="1" applyFont="1" applyBorder="1" applyAlignment="1">
      <alignment horizontal="right" vertical="center"/>
    </xf>
    <xf numFmtId="3" fontId="34" fillId="0" borderId="0" xfId="0" applyNumberFormat="1" applyFont="1">
      <alignment vertical="center"/>
    </xf>
    <xf numFmtId="177" fontId="0" fillId="7" borderId="70" xfId="1" applyNumberFormat="1" applyFont="1" applyFill="1" applyBorder="1" applyAlignment="1">
      <alignment horizontal="right" vertical="center"/>
    </xf>
    <xf numFmtId="177" fontId="0" fillId="7" borderId="65" xfId="1" applyNumberFormat="1" applyFont="1" applyFill="1" applyBorder="1" applyAlignment="1">
      <alignment horizontal="right" vertical="center"/>
    </xf>
    <xf numFmtId="41" fontId="0" fillId="7" borderId="69" xfId="1" applyFont="1" applyFill="1" applyBorder="1" applyAlignment="1">
      <alignment horizontal="left" vertical="center"/>
    </xf>
    <xf numFmtId="41" fontId="29" fillId="0" borderId="64" xfId="1" applyFont="1" applyBorder="1" applyAlignment="1">
      <alignment horizontal="center" vertical="center"/>
    </xf>
    <xf numFmtId="182" fontId="27" fillId="13" borderId="0" xfId="0" applyNumberFormat="1" applyFont="1" applyFill="1" applyAlignment="1">
      <alignment horizontal="center" vertical="center" wrapText="1"/>
    </xf>
    <xf numFmtId="0" fontId="0" fillId="7" borderId="0" xfId="0" applyFill="1">
      <alignment vertical="center"/>
    </xf>
    <xf numFmtId="41" fontId="4" fillId="0" borderId="56" xfId="1" applyFont="1" applyBorder="1" applyAlignment="1">
      <alignment vertical="center"/>
    </xf>
    <xf numFmtId="41" fontId="29" fillId="0" borderId="56" xfId="1" applyFont="1" applyBorder="1" applyAlignment="1">
      <alignment vertical="center"/>
    </xf>
    <xf numFmtId="0" fontId="4" fillId="0" borderId="56" xfId="0" applyFont="1" applyBorder="1" applyAlignment="1">
      <alignment horizontal="center" vertical="center"/>
    </xf>
    <xf numFmtId="41" fontId="4" fillId="0" borderId="112" xfId="1" applyFont="1" applyBorder="1" applyAlignment="1">
      <alignment vertical="center"/>
    </xf>
    <xf numFmtId="41" fontId="29" fillId="0" borderId="112" xfId="1" applyFont="1" applyBorder="1" applyAlignment="1">
      <alignment vertical="center"/>
    </xf>
    <xf numFmtId="0" fontId="4" fillId="0" borderId="112" xfId="0" applyFont="1" applyBorder="1" applyAlignment="1">
      <alignment horizontal="center" vertical="center"/>
    </xf>
    <xf numFmtId="41" fontId="4" fillId="0" borderId="69" xfId="1" applyFont="1" applyBorder="1" applyAlignment="1">
      <alignment horizontal="center" vertical="center"/>
    </xf>
    <xf numFmtId="41" fontId="29" fillId="0" borderId="69" xfId="1" applyFont="1" applyBorder="1" applyAlignment="1">
      <alignment vertical="center"/>
    </xf>
    <xf numFmtId="182" fontId="4" fillId="0" borderId="69" xfId="0" applyNumberFormat="1" applyFont="1" applyBorder="1" applyAlignment="1">
      <alignment horizontal="center" vertical="center"/>
    </xf>
    <xf numFmtId="3" fontId="29" fillId="0" borderId="56" xfId="0" applyNumberFormat="1" applyFont="1" applyBorder="1">
      <alignment vertical="center"/>
    </xf>
    <xf numFmtId="3" fontId="29" fillId="0" borderId="112" xfId="0" applyNumberFormat="1" applyFont="1" applyBorder="1">
      <alignment vertical="center"/>
    </xf>
    <xf numFmtId="3" fontId="29" fillId="0" borderId="69" xfId="0" applyNumberFormat="1" applyFont="1" applyBorder="1">
      <alignment vertical="center"/>
    </xf>
    <xf numFmtId="0" fontId="4" fillId="0" borderId="69" xfId="0" applyFont="1" applyBorder="1" applyAlignment="1">
      <alignment horizontal="center" vertical="center"/>
    </xf>
    <xf numFmtId="41" fontId="4" fillId="0" borderId="114" xfId="1" applyFont="1" applyBorder="1" applyAlignment="1">
      <alignment horizontal="center" vertical="center"/>
    </xf>
    <xf numFmtId="41" fontId="29" fillId="0" borderId="110" xfId="1" applyFont="1" applyBorder="1" applyAlignment="1">
      <alignment horizontal="center" vertical="center"/>
    </xf>
    <xf numFmtId="0" fontId="29" fillId="0" borderId="112" xfId="0" applyFont="1" applyBorder="1" applyAlignment="1">
      <alignment horizontal="center" vertical="center"/>
    </xf>
    <xf numFmtId="41" fontId="4" fillId="0" borderId="11" xfId="1" applyFont="1" applyBorder="1" applyAlignment="1">
      <alignment horizontal="center" vertical="center"/>
    </xf>
    <xf numFmtId="41" fontId="4" fillId="0" borderId="64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1" fontId="4" fillId="0" borderId="110" xfId="1" applyFont="1" applyBorder="1" applyAlignment="1">
      <alignment vertical="center"/>
    </xf>
    <xf numFmtId="41" fontId="4" fillId="0" borderId="11" xfId="1" applyFont="1" applyBorder="1" applyAlignment="1">
      <alignment vertical="center"/>
    </xf>
    <xf numFmtId="41" fontId="4" fillId="0" borderId="69" xfId="1" applyFont="1" applyBorder="1" applyAlignment="1">
      <alignment vertical="center"/>
    </xf>
    <xf numFmtId="41" fontId="5" fillId="0" borderId="64" xfId="0" applyNumberFormat="1" applyFont="1" applyBorder="1">
      <alignment vertical="center"/>
    </xf>
    <xf numFmtId="41" fontId="35" fillId="0" borderId="69" xfId="0" applyNumberFormat="1" applyFont="1" applyBorder="1">
      <alignment vertical="center"/>
    </xf>
    <xf numFmtId="41" fontId="35" fillId="0" borderId="1" xfId="0" applyNumberFormat="1" applyFont="1" applyBorder="1">
      <alignment vertical="center"/>
    </xf>
    <xf numFmtId="41" fontId="36" fillId="0" borderId="1" xfId="0" applyNumberFormat="1" applyFont="1" applyBorder="1">
      <alignment vertical="center"/>
    </xf>
    <xf numFmtId="0" fontId="5" fillId="0" borderId="69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41" fontId="4" fillId="0" borderId="69" xfId="1" applyFont="1" applyBorder="1" applyAlignment="1">
      <alignment horizontal="right" vertical="center"/>
    </xf>
    <xf numFmtId="3" fontId="29" fillId="0" borderId="64" xfId="0" applyNumberFormat="1" applyFont="1" applyBorder="1" applyAlignment="1">
      <alignment horizontal="right" vertical="center"/>
    </xf>
    <xf numFmtId="41" fontId="37" fillId="0" borderId="64" xfId="1" applyFont="1" applyBorder="1" applyAlignment="1">
      <alignment horizontal="right" vertical="center"/>
    </xf>
    <xf numFmtId="3" fontId="4" fillId="0" borderId="56" xfId="0" applyNumberFormat="1" applyFont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right" vertical="center"/>
    </xf>
    <xf numFmtId="0" fontId="26" fillId="13" borderId="0" xfId="0" applyFont="1" applyFill="1" applyAlignment="1">
      <alignment horizontal="center" vertical="center" wrapText="1"/>
    </xf>
    <xf numFmtId="182" fontId="26" fillId="13" borderId="0" xfId="0" applyNumberFormat="1" applyFont="1" applyFill="1" applyAlignment="1">
      <alignment horizontal="center" vertical="center" wrapText="1"/>
    </xf>
    <xf numFmtId="182" fontId="26" fillId="13" borderId="0" xfId="0" quotePrefix="1" applyNumberFormat="1" applyFont="1" applyFill="1" applyAlignment="1">
      <alignment horizontal="center" vertical="center" wrapText="1"/>
    </xf>
    <xf numFmtId="182" fontId="26" fillId="7" borderId="0" xfId="0" quotePrefix="1" applyNumberFormat="1" applyFont="1" applyFill="1" applyAlignment="1">
      <alignment horizontal="center" vertical="center" wrapText="1"/>
    </xf>
    <xf numFmtId="0" fontId="38" fillId="13" borderId="0" xfId="0" applyFont="1" applyFill="1" applyAlignment="1">
      <alignment vertical="center" wrapText="1"/>
    </xf>
    <xf numFmtId="1" fontId="4" fillId="0" borderId="56" xfId="0" applyNumberFormat="1" applyFont="1" applyBorder="1" applyAlignment="1">
      <alignment horizontal="center" vertical="center"/>
    </xf>
    <xf numFmtId="1" fontId="4" fillId="0" borderId="112" xfId="0" applyNumberFormat="1" applyFont="1" applyBorder="1" applyAlignment="1">
      <alignment horizontal="center" vertical="center"/>
    </xf>
    <xf numFmtId="1" fontId="4" fillId="0" borderId="69" xfId="0" applyNumberFormat="1" applyFont="1" applyBorder="1" applyAlignment="1">
      <alignment horizontal="center" vertical="center"/>
    </xf>
    <xf numFmtId="1" fontId="29" fillId="0" borderId="112" xfId="0" applyNumberFormat="1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/>
    </xf>
    <xf numFmtId="1" fontId="4" fillId="0" borderId="64" xfId="0" applyNumberFormat="1" applyFont="1" applyBorder="1" applyAlignment="1">
      <alignment horizontal="center" vertical="center"/>
    </xf>
    <xf numFmtId="178" fontId="20" fillId="12" borderId="124" xfId="0" applyNumberFormat="1" applyFont="1" applyFill="1" applyBorder="1">
      <alignment vertical="center"/>
    </xf>
    <xf numFmtId="178" fontId="0" fillId="7" borderId="73" xfId="1" applyNumberFormat="1" applyFont="1" applyFill="1" applyBorder="1" applyAlignment="1">
      <alignment horizontal="right" vertical="center"/>
    </xf>
    <xf numFmtId="178" fontId="0" fillId="7" borderId="74" xfId="1" applyNumberFormat="1" applyFont="1" applyFill="1" applyBorder="1" applyAlignment="1">
      <alignment horizontal="right" vertical="center"/>
    </xf>
    <xf numFmtId="178" fontId="0" fillId="7" borderId="75" xfId="1" applyNumberFormat="1" applyFont="1" applyFill="1" applyBorder="1" applyAlignment="1">
      <alignment horizontal="right" vertical="center"/>
    </xf>
    <xf numFmtId="178" fontId="0" fillId="7" borderId="71" xfId="1" applyNumberFormat="1" applyFont="1" applyFill="1" applyBorder="1" applyAlignment="1">
      <alignment horizontal="right" vertical="center"/>
    </xf>
    <xf numFmtId="179" fontId="15" fillId="7" borderId="126" xfId="1" applyNumberFormat="1" applyFont="1" applyFill="1" applyBorder="1">
      <alignment vertical="center"/>
    </xf>
    <xf numFmtId="3" fontId="26" fillId="12" borderId="11" xfId="0" applyNumberFormat="1" applyFont="1" applyFill="1" applyBorder="1" applyAlignment="1">
      <alignment horizontal="right" vertical="center" wrapText="1"/>
    </xf>
    <xf numFmtId="183" fontId="26" fillId="12" borderId="18" xfId="0" applyNumberFormat="1" applyFont="1" applyFill="1" applyBorder="1" applyAlignment="1">
      <alignment horizontal="right" vertical="center" wrapText="1"/>
    </xf>
    <xf numFmtId="3" fontId="26" fillId="12" borderId="3" xfId="0" applyNumberFormat="1" applyFont="1" applyFill="1" applyBorder="1" applyAlignment="1">
      <alignment horizontal="right" vertical="center" wrapText="1"/>
    </xf>
    <xf numFmtId="183" fontId="26" fillId="12" borderId="107" xfId="0" applyNumberFormat="1" applyFont="1" applyFill="1" applyBorder="1" applyAlignment="1">
      <alignment horizontal="right" vertical="center" wrapText="1"/>
    </xf>
    <xf numFmtId="3" fontId="26" fillId="12" borderId="107" xfId="0" applyNumberFormat="1" applyFont="1" applyFill="1" applyBorder="1" applyAlignment="1">
      <alignment horizontal="right" vertical="center" wrapText="1"/>
    </xf>
    <xf numFmtId="183" fontId="26" fillId="12" borderId="1" xfId="0" applyNumberFormat="1" applyFont="1" applyFill="1" applyBorder="1" applyAlignment="1">
      <alignment horizontal="right" vertical="center" wrapText="1"/>
    </xf>
    <xf numFmtId="3" fontId="31" fillId="12" borderId="116" xfId="0" applyNumberFormat="1" applyFont="1" applyFill="1" applyBorder="1" applyAlignment="1">
      <alignment horizontal="right" vertical="center" wrapText="1"/>
    </xf>
    <xf numFmtId="183" fontId="31" fillId="12" borderId="22" xfId="0" applyNumberFormat="1" applyFont="1" applyFill="1" applyBorder="1" applyAlignment="1">
      <alignment horizontal="right" vertical="center" wrapText="1"/>
    </xf>
    <xf numFmtId="3" fontId="26" fillId="12" borderId="91" xfId="0" applyNumberFormat="1" applyFont="1" applyFill="1" applyBorder="1" applyAlignment="1">
      <alignment horizontal="right" vertical="center" wrapText="1"/>
    </xf>
    <xf numFmtId="183" fontId="31" fillId="12" borderId="21" xfId="0" applyNumberFormat="1" applyFont="1" applyFill="1" applyBorder="1" applyAlignment="1">
      <alignment horizontal="right" vertical="center" wrapText="1"/>
    </xf>
    <xf numFmtId="0" fontId="26" fillId="12" borderId="116" xfId="0" applyFont="1" applyFill="1" applyBorder="1" applyAlignment="1">
      <alignment horizontal="right" vertical="center" wrapText="1"/>
    </xf>
    <xf numFmtId="183" fontId="26" fillId="12" borderId="21" xfId="0" quotePrefix="1" applyNumberFormat="1" applyFont="1" applyFill="1" applyBorder="1" applyAlignment="1">
      <alignment horizontal="right" vertical="center" wrapText="1"/>
    </xf>
    <xf numFmtId="3" fontId="26" fillId="12" borderId="22" xfId="0" applyNumberFormat="1" applyFont="1" applyFill="1" applyBorder="1" applyAlignment="1">
      <alignment horizontal="right" vertical="center" wrapText="1"/>
    </xf>
    <xf numFmtId="0" fontId="26" fillId="0" borderId="11" xfId="0" applyFont="1" applyBorder="1" applyAlignment="1">
      <alignment horizontal="right" vertical="center" wrapText="1"/>
    </xf>
    <xf numFmtId="3" fontId="26" fillId="0" borderId="116" xfId="0" applyNumberFormat="1" applyFont="1" applyBorder="1" applyAlignment="1">
      <alignment horizontal="right" vertical="center" wrapText="1"/>
    </xf>
    <xf numFmtId="183" fontId="26" fillId="0" borderId="21" xfId="0" applyNumberFormat="1" applyFont="1" applyBorder="1" applyAlignment="1">
      <alignment horizontal="right" vertical="center" wrapText="1"/>
    </xf>
    <xf numFmtId="3" fontId="26" fillId="0" borderId="21" xfId="0" applyNumberFormat="1" applyFont="1" applyBorder="1" applyAlignment="1">
      <alignment horizontal="right" vertical="center" wrapText="1"/>
    </xf>
    <xf numFmtId="0" fontId="26" fillId="0" borderId="110" xfId="0" quotePrefix="1" applyFont="1" applyBorder="1" applyAlignment="1">
      <alignment horizontal="right" vertical="center" wrapText="1"/>
    </xf>
    <xf numFmtId="3" fontId="26" fillId="0" borderId="108" xfId="0" applyNumberFormat="1" applyFont="1" applyBorder="1" applyAlignment="1">
      <alignment horizontal="right" vertical="center" wrapText="1"/>
    </xf>
    <xf numFmtId="183" fontId="26" fillId="0" borderId="109" xfId="0" applyNumberFormat="1" applyFont="1" applyBorder="1" applyAlignment="1">
      <alignment horizontal="right" vertical="center" wrapText="1"/>
    </xf>
    <xf numFmtId="3" fontId="26" fillId="0" borderId="109" xfId="0" quotePrefix="1" applyNumberFormat="1" applyFont="1" applyBorder="1" applyAlignment="1">
      <alignment horizontal="right" vertical="center" wrapText="1"/>
    </xf>
    <xf numFmtId="3" fontId="31" fillId="0" borderId="114" xfId="0" applyNumberFormat="1" applyFont="1" applyBorder="1" applyAlignment="1">
      <alignment horizontal="right" vertical="center" wrapText="1"/>
    </xf>
    <xf numFmtId="183" fontId="31" fillId="12" borderId="113" xfId="0" applyNumberFormat="1" applyFont="1" applyFill="1" applyBorder="1" applyAlignment="1">
      <alignment horizontal="right" vertical="center" wrapText="1"/>
    </xf>
    <xf numFmtId="0" fontId="26" fillId="0" borderId="88" xfId="0" quotePrefix="1" applyFont="1" applyBorder="1" applyAlignment="1">
      <alignment horizontal="right" vertical="center" wrapText="1"/>
    </xf>
    <xf numFmtId="183" fontId="26" fillId="0" borderId="91" xfId="0" quotePrefix="1" applyNumberFormat="1" applyFont="1" applyBorder="1" applyAlignment="1">
      <alignment horizontal="right" vertical="center" wrapText="1"/>
    </xf>
    <xf numFmtId="0" fontId="26" fillId="0" borderId="9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40" fillId="0" borderId="0" xfId="0" applyFont="1" applyAlignment="1">
      <alignment horizontal="center" vertical="center"/>
    </xf>
    <xf numFmtId="178" fontId="33" fillId="7" borderId="15" xfId="1" applyNumberFormat="1" applyFont="1" applyFill="1" applyBorder="1">
      <alignment vertical="center"/>
    </xf>
    <xf numFmtId="178" fontId="33" fillId="7" borderId="5" xfId="1" applyNumberFormat="1" applyFont="1" applyFill="1" applyBorder="1">
      <alignment vertical="center"/>
    </xf>
    <xf numFmtId="184" fontId="33" fillId="7" borderId="6" xfId="3" applyNumberFormat="1" applyFont="1" applyFill="1" applyBorder="1">
      <alignment vertical="center"/>
    </xf>
    <xf numFmtId="178" fontId="33" fillId="7" borderId="5" xfId="2" applyNumberFormat="1" applyFont="1" applyFill="1" applyBorder="1">
      <alignment vertical="center"/>
    </xf>
    <xf numFmtId="3" fontId="26" fillId="12" borderId="12" xfId="0" applyNumberFormat="1" applyFont="1" applyFill="1" applyBorder="1" applyAlignment="1">
      <alignment horizontal="right" vertical="center" wrapText="1"/>
    </xf>
    <xf numFmtId="3" fontId="26" fillId="12" borderId="14" xfId="0" applyNumberFormat="1" applyFont="1" applyFill="1" applyBorder="1" applyAlignment="1">
      <alignment horizontal="right" vertical="center" wrapText="1"/>
    </xf>
    <xf numFmtId="3" fontId="26" fillId="0" borderId="14" xfId="0" applyNumberFormat="1" applyFont="1" applyBorder="1" applyAlignment="1">
      <alignment horizontal="right" vertical="center" wrapText="1"/>
    </xf>
    <xf numFmtId="3" fontId="26" fillId="0" borderId="111" xfId="0" applyNumberFormat="1" applyFont="1" applyBorder="1" applyAlignment="1">
      <alignment horizontal="right" vertical="center" wrapText="1"/>
    </xf>
    <xf numFmtId="3" fontId="26" fillId="0" borderId="89" xfId="0" applyNumberFormat="1" applyFont="1" applyBorder="1" applyAlignment="1">
      <alignment horizontal="right" vertical="center" wrapText="1"/>
    </xf>
    <xf numFmtId="0" fontId="27" fillId="16" borderId="39" xfId="0" applyFont="1" applyFill="1" applyBorder="1" applyAlignment="1">
      <alignment horizontal="center" vertical="center" wrapText="1"/>
    </xf>
    <xf numFmtId="3" fontId="27" fillId="16" borderId="25" xfId="0" applyNumberFormat="1" applyFont="1" applyFill="1" applyBorder="1" applyAlignment="1">
      <alignment horizontal="right" vertical="center" wrapText="1"/>
    </xf>
    <xf numFmtId="3" fontId="27" fillId="16" borderId="32" xfId="0" applyNumberFormat="1" applyFont="1" applyFill="1" applyBorder="1" applyAlignment="1">
      <alignment horizontal="right" vertical="center" wrapText="1"/>
    </xf>
    <xf numFmtId="0" fontId="27" fillId="16" borderId="30" xfId="0" applyFont="1" applyFill="1" applyBorder="1" applyAlignment="1">
      <alignment horizontal="right" vertical="center" wrapText="1"/>
    </xf>
    <xf numFmtId="3" fontId="27" fillId="16" borderId="29" xfId="0" applyNumberFormat="1" applyFont="1" applyFill="1" applyBorder="1" applyAlignment="1">
      <alignment horizontal="right" vertical="center" wrapText="1"/>
    </xf>
    <xf numFmtId="0" fontId="27" fillId="16" borderId="34" xfId="0" applyFont="1" applyFill="1" applyBorder="1" applyAlignment="1">
      <alignment horizontal="right" vertical="center" wrapText="1"/>
    </xf>
    <xf numFmtId="3" fontId="27" fillId="16" borderId="34" xfId="0" applyNumberFormat="1" applyFont="1" applyFill="1" applyBorder="1" applyAlignment="1">
      <alignment horizontal="right" vertical="center" wrapText="1"/>
    </xf>
    <xf numFmtId="178" fontId="14" fillId="17" borderId="25" xfId="1" applyNumberFormat="1" applyFont="1" applyFill="1" applyBorder="1">
      <alignment vertical="center"/>
    </xf>
    <xf numFmtId="178" fontId="14" fillId="17" borderId="29" xfId="1" applyNumberFormat="1" applyFont="1" applyFill="1" applyBorder="1">
      <alignment vertical="center"/>
    </xf>
    <xf numFmtId="178" fontId="14" fillId="17" borderId="32" xfId="1" applyNumberFormat="1" applyFont="1" applyFill="1" applyBorder="1">
      <alignment vertical="center"/>
    </xf>
    <xf numFmtId="10" fontId="33" fillId="7" borderId="64" xfId="3" applyNumberFormat="1" applyFont="1" applyFill="1" applyBorder="1">
      <alignment vertical="center"/>
    </xf>
    <xf numFmtId="184" fontId="33" fillId="7" borderId="64" xfId="3" applyNumberFormat="1" applyFont="1" applyFill="1" applyBorder="1">
      <alignment vertical="center"/>
    </xf>
    <xf numFmtId="180" fontId="33" fillId="7" borderId="64" xfId="1" applyNumberFormat="1" applyFont="1" applyFill="1" applyBorder="1">
      <alignment vertical="center"/>
    </xf>
    <xf numFmtId="184" fontId="41" fillId="7" borderId="64" xfId="3" applyNumberFormat="1" applyFont="1" applyFill="1" applyBorder="1">
      <alignment vertical="center"/>
    </xf>
    <xf numFmtId="0" fontId="14" fillId="5" borderId="129" xfId="0" applyFont="1" applyFill="1" applyBorder="1" applyAlignment="1">
      <alignment horizontal="center" vertical="center" wrapText="1"/>
    </xf>
    <xf numFmtId="10" fontId="33" fillId="7" borderId="127" xfId="3" applyNumberFormat="1" applyFont="1" applyFill="1" applyBorder="1">
      <alignment vertical="center"/>
    </xf>
    <xf numFmtId="180" fontId="33" fillId="7" borderId="127" xfId="1" applyNumberFormat="1" applyFont="1" applyFill="1" applyBorder="1">
      <alignment vertical="center"/>
    </xf>
    <xf numFmtId="184" fontId="33" fillId="7" borderId="129" xfId="3" applyNumberFormat="1" applyFont="1" applyFill="1" applyBorder="1">
      <alignment vertical="center"/>
    </xf>
    <xf numFmtId="180" fontId="33" fillId="7" borderId="129" xfId="1" applyNumberFormat="1" applyFont="1" applyFill="1" applyBorder="1">
      <alignment vertical="center"/>
    </xf>
    <xf numFmtId="10" fontId="14" fillId="17" borderId="131" xfId="1" applyNumberFormat="1" applyFont="1" applyFill="1" applyBorder="1">
      <alignment vertical="center"/>
    </xf>
    <xf numFmtId="180" fontId="14" fillId="17" borderId="131" xfId="0" applyNumberFormat="1" applyFont="1" applyFill="1" applyBorder="1">
      <alignment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32" xfId="0" applyFont="1" applyFill="1" applyBorder="1" applyAlignment="1">
      <alignment horizontal="center" vertical="center"/>
    </xf>
    <xf numFmtId="0" fontId="14" fillId="17" borderId="25" xfId="0" applyFont="1" applyFill="1" applyBorder="1" applyAlignment="1">
      <alignment horizontal="center" vertical="center"/>
    </xf>
    <xf numFmtId="184" fontId="41" fillId="7" borderId="12" xfId="3" applyNumberFormat="1" applyFont="1" applyFill="1" applyBorder="1">
      <alignment vertical="center"/>
    </xf>
    <xf numFmtId="184" fontId="41" fillId="7" borderId="15" xfId="3" applyNumberFormat="1" applyFont="1" applyFill="1" applyBorder="1">
      <alignment vertical="center"/>
    </xf>
    <xf numFmtId="184" fontId="41" fillId="7" borderId="15" xfId="3" applyNumberFormat="1" applyFont="1" applyFill="1" applyBorder="1" applyAlignment="1">
      <alignment horizontal="right" vertical="center"/>
    </xf>
    <xf numFmtId="184" fontId="41" fillId="7" borderId="132" xfId="3" applyNumberFormat="1" applyFont="1" applyFill="1" applyBorder="1">
      <alignment vertical="center"/>
    </xf>
    <xf numFmtId="184" fontId="18" fillId="17" borderId="25" xfId="3" applyNumberFormat="1" applyFont="1" applyFill="1" applyBorder="1">
      <alignment vertical="center"/>
    </xf>
    <xf numFmtId="180" fontId="33" fillId="7" borderId="3" xfId="1" applyNumberFormat="1" applyFont="1" applyFill="1" applyBorder="1">
      <alignment vertical="center"/>
    </xf>
    <xf numFmtId="180" fontId="33" fillId="7" borderId="4" xfId="2" applyNumberFormat="1" applyFont="1" applyFill="1" applyBorder="1">
      <alignment vertical="center"/>
    </xf>
    <xf numFmtId="180" fontId="33" fillId="7" borderId="5" xfId="1" applyNumberFormat="1" applyFont="1" applyFill="1" applyBorder="1">
      <alignment vertical="center"/>
    </xf>
    <xf numFmtId="180" fontId="33" fillId="7" borderId="6" xfId="1" applyNumberFormat="1" applyFont="1" applyFill="1" applyBorder="1">
      <alignment vertical="center"/>
    </xf>
    <xf numFmtId="180" fontId="33" fillId="7" borderId="6" xfId="2" applyNumberFormat="1" applyFont="1" applyFill="1" applyBorder="1">
      <alignment vertical="center"/>
    </xf>
    <xf numFmtId="180" fontId="33" fillId="7" borderId="128" xfId="1" applyNumberFormat="1" applyFont="1" applyFill="1" applyBorder="1">
      <alignment vertical="center"/>
    </xf>
    <xf numFmtId="180" fontId="33" fillId="7" borderId="130" xfId="1" applyNumberFormat="1" applyFont="1" applyFill="1" applyBorder="1">
      <alignment vertical="center"/>
    </xf>
    <xf numFmtId="180" fontId="14" fillId="17" borderId="29" xfId="0" applyNumberFormat="1" applyFont="1" applyFill="1" applyBorder="1">
      <alignment vertical="center"/>
    </xf>
    <xf numFmtId="180" fontId="14" fillId="17" borderId="31" xfId="0" applyNumberFormat="1" applyFont="1" applyFill="1" applyBorder="1">
      <alignment vertical="center"/>
    </xf>
    <xf numFmtId="178" fontId="33" fillId="7" borderId="12" xfId="1" applyNumberFormat="1" applyFont="1" applyFill="1" applyBorder="1">
      <alignment vertical="center"/>
    </xf>
    <xf numFmtId="178" fontId="33" fillId="7" borderId="132" xfId="1" applyNumberFormat="1" applyFont="1" applyFill="1" applyBorder="1">
      <alignment vertical="center"/>
    </xf>
    <xf numFmtId="0" fontId="14" fillId="5" borderId="128" xfId="0" applyFont="1" applyFill="1" applyBorder="1" applyAlignment="1">
      <alignment horizontal="center" vertical="center"/>
    </xf>
    <xf numFmtId="178" fontId="33" fillId="7" borderId="3" xfId="1" applyNumberFormat="1" applyFont="1" applyFill="1" applyBorder="1">
      <alignment vertical="center"/>
    </xf>
    <xf numFmtId="178" fontId="33" fillId="7" borderId="4" xfId="1" applyNumberFormat="1" applyFont="1" applyFill="1" applyBorder="1">
      <alignment vertical="center"/>
    </xf>
    <xf numFmtId="178" fontId="33" fillId="7" borderId="6" xfId="1" applyNumberFormat="1" applyFont="1" applyFill="1" applyBorder="1">
      <alignment vertical="center"/>
    </xf>
    <xf numFmtId="178" fontId="33" fillId="7" borderId="128" xfId="1" applyNumberFormat="1" applyFont="1" applyFill="1" applyBorder="1">
      <alignment vertical="center"/>
    </xf>
    <xf numFmtId="178" fontId="33" fillId="7" borderId="130" xfId="1" applyNumberFormat="1" applyFont="1" applyFill="1" applyBorder="1">
      <alignment vertical="center"/>
    </xf>
    <xf numFmtId="178" fontId="14" fillId="17" borderId="31" xfId="1" applyNumberFormat="1" applyFont="1" applyFill="1" applyBorder="1">
      <alignment vertical="center"/>
    </xf>
    <xf numFmtId="178" fontId="33" fillId="7" borderId="86" xfId="1" applyNumberFormat="1" applyFont="1" applyFill="1" applyBorder="1">
      <alignment vertical="center"/>
    </xf>
    <xf numFmtId="178" fontId="33" fillId="7" borderId="87" xfId="1" applyNumberFormat="1" applyFont="1" applyFill="1" applyBorder="1">
      <alignment vertical="center"/>
    </xf>
    <xf numFmtId="178" fontId="33" fillId="7" borderId="133" xfId="1" applyNumberFormat="1" applyFont="1" applyFill="1" applyBorder="1">
      <alignment vertical="center"/>
    </xf>
    <xf numFmtId="0" fontId="14" fillId="5" borderId="128" xfId="0" applyFont="1" applyFill="1" applyBorder="1" applyAlignment="1">
      <alignment horizontal="center" vertical="center" wrapText="1"/>
    </xf>
    <xf numFmtId="0" fontId="14" fillId="5" borderId="130" xfId="0" applyFont="1" applyFill="1" applyBorder="1" applyAlignment="1">
      <alignment horizontal="center" vertical="center"/>
    </xf>
    <xf numFmtId="178" fontId="33" fillId="7" borderId="3" xfId="2" applyNumberFormat="1" applyFont="1" applyFill="1" applyBorder="1">
      <alignment vertical="center"/>
    </xf>
    <xf numFmtId="184" fontId="33" fillId="7" borderId="4" xfId="3" applyNumberFormat="1" applyFont="1" applyFill="1" applyBorder="1">
      <alignment vertical="center"/>
    </xf>
    <xf numFmtId="178" fontId="33" fillId="7" borderId="5" xfId="0" applyNumberFormat="1" applyFont="1" applyFill="1" applyBorder="1">
      <alignment vertical="center"/>
    </xf>
    <xf numFmtId="184" fontId="33" fillId="7" borderId="130" xfId="3" applyNumberFormat="1" applyFont="1" applyFill="1" applyBorder="1">
      <alignment vertical="center"/>
    </xf>
    <xf numFmtId="184" fontId="14" fillId="17" borderId="31" xfId="3" applyNumberFormat="1" applyFont="1" applyFill="1" applyBorder="1">
      <alignment vertical="center"/>
    </xf>
    <xf numFmtId="184" fontId="26" fillId="12" borderId="19" xfId="3" applyNumberFormat="1" applyFont="1" applyFill="1" applyBorder="1" applyAlignment="1">
      <alignment horizontal="right" vertical="center" wrapText="1"/>
    </xf>
    <xf numFmtId="184" fontId="26" fillId="12" borderId="21" xfId="3" applyNumberFormat="1" applyFont="1" applyFill="1" applyBorder="1" applyAlignment="1">
      <alignment horizontal="right" vertical="center" wrapText="1"/>
    </xf>
    <xf numFmtId="184" fontId="26" fillId="12" borderId="21" xfId="3" quotePrefix="1" applyNumberFormat="1" applyFont="1" applyFill="1" applyBorder="1" applyAlignment="1">
      <alignment horizontal="right" vertical="center" wrapText="1"/>
    </xf>
    <xf numFmtId="184" fontId="26" fillId="0" borderId="91" xfId="3" quotePrefix="1" applyNumberFormat="1" applyFont="1" applyBorder="1" applyAlignment="1">
      <alignment horizontal="right" vertical="center" wrapText="1"/>
    </xf>
    <xf numFmtId="184" fontId="27" fillId="16" borderId="34" xfId="3" applyNumberFormat="1" applyFont="1" applyFill="1" applyBorder="1" applyAlignment="1">
      <alignment horizontal="right" vertical="center" wrapText="1"/>
    </xf>
    <xf numFmtId="3" fontId="27" fillId="16" borderId="14" xfId="0" applyNumberFormat="1" applyFont="1" applyFill="1" applyBorder="1" applyAlignment="1">
      <alignment horizontal="right" vertical="center" wrapText="1"/>
    </xf>
    <xf numFmtId="3" fontId="26" fillId="16" borderId="11" xfId="0" applyNumberFormat="1" applyFont="1" applyFill="1" applyBorder="1" applyAlignment="1">
      <alignment horizontal="right" vertical="center" wrapText="1"/>
    </xf>
    <xf numFmtId="183" fontId="26" fillId="16" borderId="1" xfId="0" applyNumberFormat="1" applyFont="1" applyFill="1" applyBorder="1" applyAlignment="1">
      <alignment horizontal="right" vertical="center" wrapText="1"/>
    </xf>
    <xf numFmtId="3" fontId="26" fillId="16" borderId="116" xfId="0" applyNumberFormat="1" applyFont="1" applyFill="1" applyBorder="1" applyAlignment="1">
      <alignment horizontal="right" vertical="center" wrapText="1"/>
    </xf>
    <xf numFmtId="183" fontId="26" fillId="16" borderId="21" xfId="0" applyNumberFormat="1" applyFont="1" applyFill="1" applyBorder="1" applyAlignment="1">
      <alignment horizontal="right" vertical="center" wrapText="1"/>
    </xf>
    <xf numFmtId="3" fontId="26" fillId="16" borderId="21" xfId="0" applyNumberFormat="1" applyFont="1" applyFill="1" applyBorder="1" applyAlignment="1">
      <alignment horizontal="right" vertical="center" wrapText="1"/>
    </xf>
    <xf numFmtId="184" fontId="26" fillId="16" borderId="21" xfId="3" applyNumberFormat="1" applyFont="1" applyFill="1" applyBorder="1" applyAlignment="1">
      <alignment horizontal="right" vertical="center" wrapText="1"/>
    </xf>
    <xf numFmtId="0" fontId="27" fillId="14" borderId="107" xfId="0" applyFont="1" applyFill="1" applyBorder="1" applyAlignment="1">
      <alignment horizontal="center" vertical="center" wrapText="1"/>
    </xf>
    <xf numFmtId="0" fontId="27" fillId="14" borderId="85" xfId="0" applyFont="1" applyFill="1" applyBorder="1" applyAlignment="1">
      <alignment horizontal="center" vertical="center" wrapText="1"/>
    </xf>
    <xf numFmtId="0" fontId="27" fillId="14" borderId="90" xfId="0" applyFont="1" applyFill="1" applyBorder="1" applyAlignment="1">
      <alignment horizontal="center" vertical="center" wrapText="1"/>
    </xf>
    <xf numFmtId="0" fontId="27" fillId="14" borderId="108" xfId="0" applyFont="1" applyFill="1" applyBorder="1" applyAlignment="1">
      <alignment horizontal="center" vertical="center" wrapText="1"/>
    </xf>
    <xf numFmtId="0" fontId="27" fillId="14" borderId="109" xfId="0" applyFont="1" applyFill="1" applyBorder="1" applyAlignment="1">
      <alignment horizontal="center" vertical="center" wrapText="1"/>
    </xf>
    <xf numFmtId="0" fontId="27" fillId="13" borderId="0" xfId="0" applyFont="1" applyFill="1" applyAlignment="1">
      <alignment horizontal="right" vertical="center" wrapText="1"/>
    </xf>
    <xf numFmtId="180" fontId="26" fillId="12" borderId="19" xfId="0" applyNumberFormat="1" applyFont="1" applyFill="1" applyBorder="1" applyAlignment="1">
      <alignment horizontal="center" vertical="center" wrapText="1"/>
    </xf>
    <xf numFmtId="180" fontId="26" fillId="12" borderId="21" xfId="0" applyNumberFormat="1" applyFont="1" applyFill="1" applyBorder="1" applyAlignment="1">
      <alignment horizontal="center" vertical="center" wrapText="1"/>
    </xf>
    <xf numFmtId="180" fontId="26" fillId="12" borderId="21" xfId="0" quotePrefix="1" applyNumberFormat="1" applyFont="1" applyFill="1" applyBorder="1" applyAlignment="1">
      <alignment horizontal="center" vertical="center" wrapText="1"/>
    </xf>
    <xf numFmtId="180" fontId="26" fillId="16" borderId="21" xfId="0" applyNumberFormat="1" applyFont="1" applyFill="1" applyBorder="1" applyAlignment="1">
      <alignment horizontal="center" vertical="center" wrapText="1"/>
    </xf>
    <xf numFmtId="180" fontId="26" fillId="0" borderId="21" xfId="0" applyNumberFormat="1" applyFont="1" applyBorder="1" applyAlignment="1">
      <alignment horizontal="center" vertical="center" wrapText="1"/>
    </xf>
    <xf numFmtId="180" fontId="26" fillId="0" borderId="109" xfId="0" applyNumberFormat="1" applyFont="1" applyBorder="1" applyAlignment="1">
      <alignment horizontal="center" vertical="center" wrapText="1"/>
    </xf>
    <xf numFmtId="180" fontId="26" fillId="0" borderId="91" xfId="0" quotePrefix="1" applyNumberFormat="1" applyFont="1" applyBorder="1" applyAlignment="1">
      <alignment horizontal="center" vertical="center" wrapText="1"/>
    </xf>
    <xf numFmtId="180" fontId="27" fillId="16" borderId="34" xfId="0" applyNumberFormat="1" applyFont="1" applyFill="1" applyBorder="1" applyAlignment="1">
      <alignment horizontal="center" vertical="center" wrapText="1"/>
    </xf>
    <xf numFmtId="0" fontId="27" fillId="15" borderId="35" xfId="0" applyFont="1" applyFill="1" applyBorder="1" applyAlignment="1">
      <alignment horizontal="center" vertical="center" wrapText="1"/>
    </xf>
    <xf numFmtId="0" fontId="27" fillId="15" borderId="37" xfId="0" applyFont="1" applyFill="1" applyBorder="1" applyAlignment="1">
      <alignment horizontal="center" vertical="center" wrapText="1"/>
    </xf>
    <xf numFmtId="0" fontId="27" fillId="16" borderId="37" xfId="0" applyFont="1" applyFill="1" applyBorder="1" applyAlignment="1">
      <alignment horizontal="center" vertic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106" xfId="0" applyFont="1" applyFill="1" applyBorder="1" applyAlignment="1">
      <alignment horizontal="center" vertical="center" wrapText="1"/>
    </xf>
    <xf numFmtId="0" fontId="27" fillId="9" borderId="115" xfId="0" applyFont="1" applyFill="1" applyBorder="1" applyAlignment="1">
      <alignment horizontal="center" vertical="center" wrapText="1"/>
    </xf>
    <xf numFmtId="41" fontId="14" fillId="6" borderId="60" xfId="1" applyFont="1" applyFill="1" applyBorder="1" applyAlignment="1">
      <alignment horizontal="left" vertical="center" shrinkToFit="1"/>
    </xf>
    <xf numFmtId="41" fontId="14" fillId="7" borderId="64" xfId="1" applyFont="1" applyFill="1" applyBorder="1" applyAlignment="1">
      <alignment horizontal="left" vertical="center" shrinkToFit="1"/>
    </xf>
    <xf numFmtId="41" fontId="14" fillId="7" borderId="69" xfId="1" applyFont="1" applyFill="1" applyBorder="1" applyAlignment="1">
      <alignment horizontal="left" vertical="center" shrinkToFit="1"/>
    </xf>
    <xf numFmtId="41" fontId="18" fillId="7" borderId="64" xfId="1" applyFont="1" applyFill="1" applyBorder="1" applyAlignment="1">
      <alignment horizontal="left" vertical="center" shrinkToFit="1"/>
    </xf>
    <xf numFmtId="41" fontId="18" fillId="7" borderId="69" xfId="1" applyFont="1" applyFill="1" applyBorder="1" applyAlignment="1">
      <alignment horizontal="left" vertical="center" shrinkToFit="1"/>
    </xf>
    <xf numFmtId="41" fontId="42" fillId="7" borderId="64" xfId="1" applyFont="1" applyFill="1" applyBorder="1" applyAlignment="1">
      <alignment horizontal="left" vertical="center" shrinkToFit="1"/>
    </xf>
    <xf numFmtId="41" fontId="42" fillId="7" borderId="69" xfId="1" applyFont="1" applyFill="1" applyBorder="1" applyAlignment="1">
      <alignment horizontal="left" vertical="center" shrinkToFit="1"/>
    </xf>
    <xf numFmtId="178" fontId="0" fillId="7" borderId="56" xfId="1" applyNumberFormat="1" applyFont="1" applyFill="1" applyBorder="1" applyAlignment="1">
      <alignment horizontal="right" vertical="center"/>
    </xf>
    <xf numFmtId="180" fontId="0" fillId="7" borderId="57" xfId="1" applyNumberFormat="1" applyFont="1" applyFill="1" applyBorder="1">
      <alignment vertical="center"/>
    </xf>
    <xf numFmtId="180" fontId="0" fillId="7" borderId="56" xfId="1" applyNumberFormat="1" applyFont="1" applyFill="1" applyBorder="1">
      <alignment vertical="center"/>
    </xf>
    <xf numFmtId="180" fontId="0" fillId="7" borderId="58" xfId="1" applyNumberFormat="1" applyFont="1" applyFill="1" applyBorder="1">
      <alignment vertical="center"/>
    </xf>
    <xf numFmtId="41" fontId="14" fillId="7" borderId="112" xfId="1" applyFont="1" applyFill="1" applyBorder="1" applyAlignment="1">
      <alignment horizontal="left" vertical="center" shrinkToFit="1"/>
    </xf>
    <xf numFmtId="41" fontId="15" fillId="7" borderId="73" xfId="1" applyFont="1" applyFill="1" applyBorder="1" applyAlignment="1">
      <alignment horizontal="left" vertical="center"/>
    </xf>
    <xf numFmtId="177" fontId="15" fillId="7" borderId="74" xfId="1" applyNumberFormat="1" applyFont="1" applyFill="1" applyBorder="1" applyAlignment="1">
      <alignment horizontal="right" vertical="center"/>
    </xf>
    <xf numFmtId="41" fontId="18" fillId="7" borderId="73" xfId="1" applyFont="1" applyFill="1" applyBorder="1" applyAlignment="1">
      <alignment horizontal="left" vertical="center" shrinkToFit="1"/>
    </xf>
    <xf numFmtId="178" fontId="30" fillId="7" borderId="62" xfId="1" applyNumberFormat="1" applyFont="1" applyFill="1" applyBorder="1" applyAlignment="1">
      <alignment horizontal="right" vertical="center"/>
    </xf>
    <xf numFmtId="178" fontId="30" fillId="7" borderId="66" xfId="1" applyNumberFormat="1" applyFont="1" applyFill="1" applyBorder="1" applyAlignment="1">
      <alignment horizontal="right" vertical="center"/>
    </xf>
    <xf numFmtId="178" fontId="30" fillId="0" borderId="66" xfId="1" applyNumberFormat="1" applyFont="1" applyFill="1" applyBorder="1" applyAlignment="1">
      <alignment horizontal="right" vertical="center"/>
    </xf>
    <xf numFmtId="178" fontId="30" fillId="0" borderId="71" xfId="1" applyNumberFormat="1" applyFont="1" applyFill="1" applyBorder="1" applyAlignment="1">
      <alignment horizontal="right" vertical="center"/>
    </xf>
    <xf numFmtId="178" fontId="30" fillId="0" borderId="66" xfId="1" applyNumberFormat="1" applyFont="1" applyBorder="1" applyAlignment="1">
      <alignment horizontal="right" vertical="center"/>
    </xf>
    <xf numFmtId="178" fontId="30" fillId="0" borderId="57" xfId="1" applyNumberFormat="1" applyFont="1" applyBorder="1" applyAlignment="1">
      <alignment horizontal="right" vertical="center"/>
    </xf>
    <xf numFmtId="178" fontId="30" fillId="0" borderId="75" xfId="1" applyNumberFormat="1" applyFont="1" applyBorder="1" applyAlignment="1">
      <alignment horizontal="right" vertical="center"/>
    </xf>
    <xf numFmtId="178" fontId="30" fillId="0" borderId="71" xfId="1" applyNumberFormat="1" applyFont="1" applyBorder="1" applyAlignment="1">
      <alignment horizontal="right" vertical="center"/>
    </xf>
    <xf numFmtId="178" fontId="41" fillId="0" borderId="71" xfId="1" applyNumberFormat="1" applyFont="1" applyFill="1" applyBorder="1" applyAlignment="1">
      <alignment horizontal="right" vertical="center"/>
    </xf>
    <xf numFmtId="41" fontId="15" fillId="7" borderId="92" xfId="1" applyFont="1" applyFill="1" applyBorder="1" applyAlignment="1">
      <alignment horizontal="left" vertical="center" shrinkToFit="1"/>
    </xf>
    <xf numFmtId="41" fontId="3" fillId="7" borderId="0" xfId="0" applyNumberFormat="1" applyFont="1" applyFill="1">
      <alignment vertical="center"/>
    </xf>
    <xf numFmtId="178" fontId="0" fillId="7" borderId="70" xfId="1" applyNumberFormat="1" applyFont="1" applyFill="1" applyBorder="1" applyAlignment="1">
      <alignment horizontal="right" vertical="center" wrapText="1"/>
    </xf>
    <xf numFmtId="182" fontId="0" fillId="7" borderId="0" xfId="1" applyNumberFormat="1" applyFont="1" applyFill="1" applyBorder="1" applyAlignment="1">
      <alignment horizontal="right" vertical="center"/>
    </xf>
    <xf numFmtId="41" fontId="4" fillId="7" borderId="0" xfId="1" applyFont="1" applyFill="1" applyBorder="1" applyAlignment="1">
      <alignment horizontal="left" vertical="center" shrinkToFit="1"/>
    </xf>
    <xf numFmtId="41" fontId="4" fillId="7" borderId="0" xfId="1" applyFont="1" applyFill="1" applyBorder="1" applyAlignment="1">
      <alignment horizontal="left" vertical="center"/>
    </xf>
    <xf numFmtId="177" fontId="4" fillId="7" borderId="0" xfId="1" applyNumberFormat="1" applyFont="1" applyFill="1" applyBorder="1" applyAlignment="1">
      <alignment horizontal="right" vertical="center"/>
    </xf>
    <xf numFmtId="178" fontId="4" fillId="7" borderId="134" xfId="1" applyNumberFormat="1" applyFont="1" applyFill="1" applyBorder="1" applyAlignment="1">
      <alignment horizontal="right" vertical="center"/>
    </xf>
    <xf numFmtId="182" fontId="4" fillId="7" borderId="0" xfId="1" applyNumberFormat="1" applyFont="1" applyFill="1" applyBorder="1" applyAlignment="1">
      <alignment horizontal="right" vertical="center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92" xfId="0" applyFont="1" applyFill="1" applyBorder="1" applyAlignment="1">
      <alignment horizontal="center" vertical="center"/>
    </xf>
    <xf numFmtId="0" fontId="15" fillId="2" borderId="92" xfId="0" applyFont="1" applyFill="1" applyBorder="1" applyAlignment="1">
      <alignment horizontal="center" vertical="center" wrapText="1"/>
    </xf>
    <xf numFmtId="0" fontId="15" fillId="2" borderId="93" xfId="0" applyFont="1" applyFill="1" applyBorder="1" applyAlignment="1">
      <alignment horizontal="center" vertical="center" wrapText="1"/>
    </xf>
    <xf numFmtId="0" fontId="15" fillId="2" borderId="94" xfId="0" applyFont="1" applyFill="1" applyBorder="1" applyAlignment="1">
      <alignment horizontal="center" vertical="center" wrapText="1"/>
    </xf>
    <xf numFmtId="0" fontId="0" fillId="0" borderId="9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9" borderId="76" xfId="0" applyFont="1" applyFill="1" applyBorder="1" applyAlignment="1">
      <alignment horizontal="center" vertical="center"/>
    </xf>
    <xf numFmtId="0" fontId="14" fillId="9" borderId="77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63" xfId="0" applyFill="1" applyBorder="1" applyAlignment="1">
      <alignment horizontal="center" vertical="center" wrapText="1"/>
    </xf>
    <xf numFmtId="0" fontId="0" fillId="5" borderId="55" xfId="0" applyFill="1" applyBorder="1" applyAlignment="1">
      <alignment horizontal="center" vertical="center" wrapText="1"/>
    </xf>
    <xf numFmtId="179" fontId="14" fillId="0" borderId="50" xfId="1" applyNumberFormat="1" applyFont="1" applyBorder="1" applyAlignment="1">
      <alignment horizontal="right" vertical="center"/>
    </xf>
    <xf numFmtId="179" fontId="14" fillId="0" borderId="68" xfId="1" applyNumberFormat="1" applyFont="1" applyBorder="1" applyAlignment="1">
      <alignment horizontal="right" vertical="center"/>
    </xf>
    <xf numFmtId="179" fontId="14" fillId="0" borderId="59" xfId="1" applyNumberFormat="1" applyFont="1" applyBorder="1" applyAlignment="1">
      <alignment horizontal="right" vertical="center"/>
    </xf>
    <xf numFmtId="0" fontId="14" fillId="5" borderId="40" xfId="0" applyFont="1" applyFill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5" borderId="42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/>
    </xf>
    <xf numFmtId="0" fontId="14" fillId="5" borderId="54" xfId="0" applyFont="1" applyFill="1" applyBorder="1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 wrapText="1"/>
    </xf>
    <xf numFmtId="0" fontId="14" fillId="5" borderId="54" xfId="0" applyFont="1" applyFill="1" applyBorder="1" applyAlignment="1">
      <alignment horizontal="center" vertical="center" wrapText="1"/>
    </xf>
    <xf numFmtId="0" fontId="14" fillId="5" borderId="47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0" fontId="14" fillId="5" borderId="4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5" fillId="5" borderId="13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>
      <alignment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127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5" fillId="5" borderId="13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4" fillId="5" borderId="86" xfId="0" applyFont="1" applyFill="1" applyBorder="1" applyAlignment="1">
      <alignment horizontal="center" vertical="center" wrapText="1"/>
    </xf>
    <xf numFmtId="0" fontId="14" fillId="5" borderId="13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5" fillId="5" borderId="128" xfId="0" applyFont="1" applyFill="1" applyBorder="1" applyAlignment="1">
      <alignment horizontal="center" vertical="center"/>
    </xf>
    <xf numFmtId="0" fontId="14" fillId="5" borderId="127" xfId="0" applyFont="1" applyFill="1" applyBorder="1" applyAlignment="1">
      <alignment horizontal="center" vertical="center" wrapText="1"/>
    </xf>
    <xf numFmtId="0" fontId="15" fillId="5" borderId="129" xfId="0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41" fontId="35" fillId="0" borderId="69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14" borderId="23" xfId="0" applyFont="1" applyFill="1" applyBorder="1" applyAlignment="1">
      <alignment horizontal="center" vertical="center" wrapText="1"/>
    </xf>
    <xf numFmtId="0" fontId="27" fillId="14" borderId="105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86" xfId="0" applyFont="1" applyFill="1" applyBorder="1" applyAlignment="1">
      <alignment horizontal="center" vertical="center" wrapText="1"/>
    </xf>
    <xf numFmtId="0" fontId="27" fillId="14" borderId="19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112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41" fontId="4" fillId="0" borderId="56" xfId="1" applyFont="1" applyBorder="1" applyAlignment="1">
      <alignment horizontal="center" vertical="center"/>
    </xf>
    <xf numFmtId="41" fontId="4" fillId="0" borderId="69" xfId="1" applyFont="1" applyBorder="1" applyAlignment="1">
      <alignment horizontal="center" vertical="center"/>
    </xf>
    <xf numFmtId="41" fontId="4" fillId="0" borderId="11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41" fontId="37" fillId="0" borderId="56" xfId="1" applyFont="1" applyBorder="1" applyAlignment="1">
      <alignment horizontal="center" vertical="center"/>
    </xf>
    <xf numFmtId="41" fontId="37" fillId="0" borderId="69" xfId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1" fontId="37" fillId="0" borderId="112" xfId="1" applyFont="1" applyBorder="1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1" fontId="4" fillId="0" borderId="112" xfId="0" applyNumberFormat="1" applyFont="1" applyBorder="1" applyAlignment="1">
      <alignment horizontal="center" vertical="center"/>
    </xf>
    <xf numFmtId="1" fontId="4" fillId="0" borderId="69" xfId="0" applyNumberFormat="1" applyFont="1" applyBorder="1" applyAlignment="1">
      <alignment horizontal="center" vertical="center"/>
    </xf>
    <xf numFmtId="0" fontId="27" fillId="13" borderId="125" xfId="0" applyFont="1" applyFill="1" applyBorder="1" applyAlignment="1">
      <alignment horizontal="right" vertical="center" wrapText="1"/>
    </xf>
    <xf numFmtId="0" fontId="14" fillId="0" borderId="84" xfId="0" applyFont="1" applyBorder="1" applyAlignment="1">
      <alignment horizontal="right" vertical="center"/>
    </xf>
    <xf numFmtId="0" fontId="39" fillId="13" borderId="0" xfId="0" applyFont="1" applyFill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183" fontId="3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6" fillId="10" borderId="120" xfId="0" applyFont="1" applyFill="1" applyBorder="1" applyAlignment="1">
      <alignment horizontal="center" vertical="center"/>
    </xf>
    <xf numFmtId="0" fontId="16" fillId="10" borderId="121" xfId="0" applyFont="1" applyFill="1" applyBorder="1" applyAlignment="1">
      <alignment horizontal="center" vertical="center"/>
    </xf>
    <xf numFmtId="0" fontId="16" fillId="11" borderId="120" xfId="0" applyFont="1" applyFill="1" applyBorder="1" applyAlignment="1">
      <alignment horizontal="center" vertical="center"/>
    </xf>
    <xf numFmtId="0" fontId="16" fillId="11" borderId="121" xfId="0" applyFont="1" applyFill="1" applyBorder="1" applyAlignment="1">
      <alignment horizontal="center" vertical="center"/>
    </xf>
    <xf numFmtId="0" fontId="16" fillId="8" borderId="101" xfId="0" applyFont="1" applyFill="1" applyBorder="1" applyAlignment="1">
      <alignment horizontal="center" vertical="center"/>
    </xf>
    <xf numFmtId="0" fontId="16" fillId="8" borderId="97" xfId="0" applyFont="1" applyFill="1" applyBorder="1" applyAlignment="1">
      <alignment horizontal="center" vertical="center"/>
    </xf>
    <xf numFmtId="0" fontId="0" fillId="0" borderId="98" xfId="0" applyBorder="1" applyAlignment="1">
      <alignment horizontal="right" vertical="center"/>
    </xf>
    <xf numFmtId="0" fontId="0" fillId="0" borderId="99" xfId="0" applyBorder="1" applyAlignment="1">
      <alignment horizontal="right" vertical="center"/>
    </xf>
    <xf numFmtId="0" fontId="0" fillId="0" borderId="100" xfId="0" applyBorder="1" applyAlignment="1">
      <alignment horizontal="right" vertical="center"/>
    </xf>
  </cellXfs>
  <cellStyles count="4">
    <cellStyle name="강조색6" xfId="2" builtinId="49"/>
    <cellStyle name="백분율" xfId="3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EEE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명지" id="{B7A43D5D-4091-4627-8B7C-9CB6FDFF3D56}" userId="S::mj@gscf.or.kr::5a5eec54-bac9-426a-b187-331dfa087dbf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12-27T05:36:18.53" personId="{B7A43D5D-4091-4627-8B7C-9CB6FDFF3D56}" id="{357923EE-2AF2-4D40-B3AD-B0B2C1049E74}">
    <text xml:space="preserve">차액 서식 확인 필요 
a-b인지 b-a인지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A47"/>
  <sheetViews>
    <sheetView tabSelected="1" topLeftCell="B3" workbookViewId="0">
      <selection activeCell="O10" sqref="O10"/>
    </sheetView>
  </sheetViews>
  <sheetFormatPr defaultRowHeight="16.5"/>
  <cols>
    <col min="1" max="1" width="2.375" customWidth="1"/>
    <col min="2" max="2" width="4.375" customWidth="1"/>
    <col min="3" max="3" width="35.5" style="1" customWidth="1"/>
    <col min="4" max="4" width="11.625" style="1" customWidth="1"/>
    <col min="5" max="5" width="5.875" style="1" bestFit="1" customWidth="1"/>
    <col min="6" max="7" width="12.125" style="2" customWidth="1"/>
    <col min="8" max="8" width="9" style="2" bestFit="1" customWidth="1"/>
    <col min="9" max="9" width="10.875" style="2" bestFit="1" customWidth="1"/>
    <col min="10" max="10" width="11.375" style="2" customWidth="1"/>
    <col min="11" max="11" width="9.5" style="2" bestFit="1" customWidth="1"/>
    <col min="12" max="12" width="10.625" style="2" customWidth="1"/>
    <col min="13" max="13" width="9.375" bestFit="1" customWidth="1"/>
    <col min="14" max="14" width="9.125" bestFit="1" customWidth="1"/>
    <col min="15" max="15" width="9.375" bestFit="1" customWidth="1"/>
    <col min="16" max="16" width="9.875" bestFit="1" customWidth="1"/>
    <col min="17" max="17" width="9.25" customWidth="1"/>
    <col min="18" max="18" width="0" hidden="1" customWidth="1"/>
    <col min="19" max="19" width="10.5" style="5" hidden="1" customWidth="1"/>
    <col min="20" max="20" width="10.875" hidden="1" customWidth="1"/>
    <col min="21" max="22" width="0" hidden="1" customWidth="1"/>
    <col min="23" max="23" width="6.25" customWidth="1"/>
    <col min="24" max="24" width="10.125" customWidth="1"/>
    <col min="25" max="25" width="12.25" bestFit="1" customWidth="1"/>
    <col min="26" max="26" width="10.625" customWidth="1"/>
    <col min="27" max="27" width="11.125" bestFit="1" customWidth="1"/>
  </cols>
  <sheetData>
    <row r="2" spans="2:25" ht="26.25">
      <c r="C2" s="443" t="s">
        <v>142</v>
      </c>
      <c r="D2" s="443"/>
      <c r="E2" s="443"/>
      <c r="F2" s="443"/>
      <c r="G2" s="443"/>
      <c r="H2" s="443"/>
      <c r="I2" s="443"/>
      <c r="J2" s="444"/>
      <c r="K2" s="444"/>
      <c r="L2" s="444"/>
      <c r="M2" s="444"/>
      <c r="N2" s="444"/>
      <c r="O2" s="444"/>
      <c r="P2" s="444"/>
    </row>
    <row r="3" spans="2:25" ht="17.25" customHeight="1" thickBot="1">
      <c r="D3" s="13"/>
      <c r="E3" s="13"/>
      <c r="F3"/>
      <c r="G3"/>
      <c r="H3"/>
      <c r="I3"/>
      <c r="J3"/>
      <c r="K3"/>
      <c r="L3"/>
      <c r="Q3" s="28" t="s">
        <v>0</v>
      </c>
    </row>
    <row r="4" spans="2:25">
      <c r="B4" s="439" t="s">
        <v>1</v>
      </c>
      <c r="C4" s="440"/>
      <c r="D4" s="445" t="s">
        <v>2</v>
      </c>
      <c r="E4" s="447" t="s">
        <v>3</v>
      </c>
      <c r="F4" s="449" t="s">
        <v>4</v>
      </c>
      <c r="G4" s="451" t="s">
        <v>5</v>
      </c>
      <c r="H4" s="452"/>
      <c r="I4" s="453" t="s">
        <v>6</v>
      </c>
      <c r="J4" s="455" t="s">
        <v>7</v>
      </c>
      <c r="K4" s="452"/>
      <c r="L4" s="453" t="s">
        <v>8</v>
      </c>
      <c r="M4" s="455" t="s">
        <v>9</v>
      </c>
      <c r="N4" s="456"/>
      <c r="O4" s="457"/>
      <c r="P4" s="431" t="s">
        <v>10</v>
      </c>
      <c r="Q4" s="431" t="s">
        <v>10</v>
      </c>
    </row>
    <row r="5" spans="2:25" ht="17.25" customHeight="1" thickBot="1">
      <c r="B5" s="441"/>
      <c r="C5" s="442"/>
      <c r="D5" s="446"/>
      <c r="E5" s="448"/>
      <c r="F5" s="450"/>
      <c r="G5" s="29" t="s">
        <v>11</v>
      </c>
      <c r="H5" s="30" t="s">
        <v>12</v>
      </c>
      <c r="I5" s="454"/>
      <c r="J5" s="31" t="s">
        <v>13</v>
      </c>
      <c r="K5" s="30" t="s">
        <v>12</v>
      </c>
      <c r="L5" s="454"/>
      <c r="M5" s="32" t="s">
        <v>14</v>
      </c>
      <c r="N5" s="29" t="s">
        <v>15</v>
      </c>
      <c r="O5" s="33" t="s">
        <v>16</v>
      </c>
      <c r="P5" s="432"/>
      <c r="Q5" s="432"/>
      <c r="Y5" s="196"/>
    </row>
    <row r="6" spans="2:25">
      <c r="B6" s="433" t="s">
        <v>17</v>
      </c>
      <c r="C6" s="387" t="s">
        <v>18</v>
      </c>
      <c r="D6" s="34" t="s">
        <v>19</v>
      </c>
      <c r="E6" s="35">
        <v>1</v>
      </c>
      <c r="F6" s="402">
        <v>48500000</v>
      </c>
      <c r="G6" s="37">
        <v>48326820</v>
      </c>
      <c r="H6" s="38">
        <f>SUM(G6/G27*100)</f>
        <v>9.771744941677639</v>
      </c>
      <c r="I6" s="39">
        <v>1203170</v>
      </c>
      <c r="J6" s="36">
        <v>38284950</v>
      </c>
      <c r="K6" s="38">
        <f>SUM(J6/J27*100)</f>
        <v>8.5415580192528324</v>
      </c>
      <c r="L6" s="39">
        <f t="shared" ref="L6:L26" si="0">SUM(J6-G6)</f>
        <v>-10041870</v>
      </c>
      <c r="M6" s="40">
        <v>908</v>
      </c>
      <c r="N6" s="41">
        <v>10</v>
      </c>
      <c r="O6" s="42">
        <f>SUM(M6:N6)</f>
        <v>918</v>
      </c>
      <c r="P6" s="43">
        <f>J6/(G6+I6)*100</f>
        <v>77.296502583586218</v>
      </c>
      <c r="Q6" s="436">
        <f>Q29</f>
        <v>35.933127813629021</v>
      </c>
      <c r="R6" s="3" t="s">
        <v>20</v>
      </c>
      <c r="S6" s="4">
        <v>8526000</v>
      </c>
      <c r="T6" s="3">
        <v>546</v>
      </c>
      <c r="U6" s="3">
        <v>26</v>
      </c>
      <c r="V6" s="3">
        <f>SUM(T6:U6)</f>
        <v>572</v>
      </c>
      <c r="Y6" s="196"/>
    </row>
    <row r="7" spans="2:25">
      <c r="B7" s="434"/>
      <c r="C7" s="388" t="s">
        <v>154</v>
      </c>
      <c r="D7" s="44" t="s">
        <v>22</v>
      </c>
      <c r="E7" s="45">
        <v>4</v>
      </c>
      <c r="F7" s="403">
        <v>150500000</v>
      </c>
      <c r="G7" s="47">
        <v>150441377</v>
      </c>
      <c r="H7" s="48">
        <f>SUM(G7/G27*100)</f>
        <v>30.419439241372981</v>
      </c>
      <c r="I7" s="49">
        <v>431486</v>
      </c>
      <c r="J7" s="46">
        <v>14795000</v>
      </c>
      <c r="K7" s="48">
        <f>SUM(J7/J27*100)</f>
        <v>3.3008362527532533</v>
      </c>
      <c r="L7" s="49">
        <f t="shared" si="0"/>
        <v>-135646377</v>
      </c>
      <c r="M7" s="50">
        <v>502</v>
      </c>
      <c r="N7" s="51">
        <v>337</v>
      </c>
      <c r="O7" s="52">
        <f t="shared" ref="O7:O26" si="1">SUM(M7:N7)</f>
        <v>839</v>
      </c>
      <c r="P7" s="53">
        <f t="shared" ref="P7:P26" si="2">J7/(G7+I7)*100</f>
        <v>9.8062697994933661</v>
      </c>
      <c r="Q7" s="437"/>
      <c r="R7" s="3" t="s">
        <v>21</v>
      </c>
      <c r="S7" s="4">
        <v>10045500</v>
      </c>
      <c r="T7" s="3">
        <v>691</v>
      </c>
      <c r="U7" s="3">
        <v>32</v>
      </c>
      <c r="V7" s="3">
        <f t="shared" ref="V7:V12" si="3">SUM(T7:U7)</f>
        <v>723</v>
      </c>
      <c r="Y7" s="197"/>
    </row>
    <row r="8" spans="2:25">
      <c r="B8" s="434"/>
      <c r="C8" s="388" t="s">
        <v>144</v>
      </c>
      <c r="D8" s="44" t="s">
        <v>145</v>
      </c>
      <c r="E8" s="45">
        <v>5</v>
      </c>
      <c r="F8" s="404">
        <v>32000000</v>
      </c>
      <c r="G8" s="47">
        <f>G37</f>
        <v>4835810</v>
      </c>
      <c r="H8" s="48">
        <f>SUM(G8/G27*100)</f>
        <v>0.9778069797767398</v>
      </c>
      <c r="I8" s="49">
        <f>I37</f>
        <v>127496</v>
      </c>
      <c r="J8" s="46">
        <f>J37</f>
        <v>3938500</v>
      </c>
      <c r="K8" s="48">
        <f>SUM(J8/J27*100)</f>
        <v>0.87869845092725163</v>
      </c>
      <c r="L8" s="49">
        <f>SUM(J8-G8)</f>
        <v>-897310</v>
      </c>
      <c r="M8" s="50">
        <f>M37</f>
        <v>179</v>
      </c>
      <c r="N8" s="51">
        <f>N37</f>
        <v>30</v>
      </c>
      <c r="O8" s="52">
        <f>SUM(M8:N8)</f>
        <v>209</v>
      </c>
      <c r="P8" s="53">
        <f>J8/(G8+I8)*100</f>
        <v>79.35235103376661</v>
      </c>
      <c r="Q8" s="437"/>
      <c r="R8" s="3"/>
      <c r="S8" s="4"/>
      <c r="T8" s="3"/>
      <c r="U8" s="3"/>
      <c r="V8" s="3"/>
      <c r="Y8" s="198"/>
    </row>
    <row r="9" spans="2:25">
      <c r="B9" s="434"/>
      <c r="C9" s="388" t="s">
        <v>153</v>
      </c>
      <c r="D9" s="44" t="s">
        <v>24</v>
      </c>
      <c r="E9" s="45">
        <v>1</v>
      </c>
      <c r="F9" s="405">
        <v>22500000</v>
      </c>
      <c r="G9" s="57"/>
      <c r="H9" s="58">
        <f>SUM(G9/G27*100)</f>
        <v>0</v>
      </c>
      <c r="I9" s="84">
        <v>146009</v>
      </c>
      <c r="J9" s="56">
        <v>5314500</v>
      </c>
      <c r="K9" s="58">
        <f>SUM(J9/J27*100)</f>
        <v>1.1856907242485411</v>
      </c>
      <c r="L9" s="84">
        <f>SUM(J9-G9)</f>
        <v>5314500</v>
      </c>
      <c r="M9" s="60">
        <v>176</v>
      </c>
      <c r="N9" s="61">
        <v>34</v>
      </c>
      <c r="O9" s="62">
        <f t="shared" si="1"/>
        <v>210</v>
      </c>
      <c r="P9" s="74">
        <f t="shared" si="2"/>
        <v>3639.8441191981315</v>
      </c>
      <c r="Q9" s="437"/>
      <c r="R9" s="3" t="s">
        <v>23</v>
      </c>
      <c r="S9" s="4">
        <v>9974000</v>
      </c>
      <c r="T9" s="3">
        <v>718</v>
      </c>
      <c r="U9" s="3">
        <v>10</v>
      </c>
      <c r="V9" s="3">
        <f t="shared" si="3"/>
        <v>728</v>
      </c>
      <c r="Y9" s="197"/>
    </row>
    <row r="10" spans="2:25">
      <c r="B10" s="434"/>
      <c r="C10" s="388" t="s">
        <v>165</v>
      </c>
      <c r="D10" s="44" t="s">
        <v>24</v>
      </c>
      <c r="E10" s="45">
        <v>1</v>
      </c>
      <c r="F10" s="410">
        <v>116500000</v>
      </c>
      <c r="G10" s="57"/>
      <c r="H10" s="48">
        <f>SUM(G10/G27*100)</f>
        <v>0</v>
      </c>
      <c r="I10" s="84"/>
      <c r="J10" s="56">
        <v>11514000</v>
      </c>
      <c r="K10" s="58">
        <f>SUM(J10/J27*100)</f>
        <v>2.5688292405678244</v>
      </c>
      <c r="L10" s="84">
        <f>SUM(J10-G10)</f>
        <v>11514000</v>
      </c>
      <c r="M10" s="60"/>
      <c r="N10" s="61"/>
      <c r="O10" s="62">
        <f t="shared" si="1"/>
        <v>0</v>
      </c>
      <c r="P10" s="74" t="e">
        <f>J10/(G10+I10)*100</f>
        <v>#DIV/0!</v>
      </c>
      <c r="Q10" s="437"/>
      <c r="R10" s="3"/>
      <c r="S10" s="4"/>
      <c r="T10" s="3"/>
      <c r="U10" s="3"/>
      <c r="V10" s="3"/>
      <c r="Y10" s="197"/>
    </row>
    <row r="11" spans="2:25">
      <c r="B11" s="434"/>
      <c r="C11" s="391" t="s">
        <v>161</v>
      </c>
      <c r="D11" s="54" t="s">
        <v>30</v>
      </c>
      <c r="E11" s="55">
        <v>4</v>
      </c>
      <c r="F11" s="405"/>
      <c r="G11" s="57"/>
      <c r="H11" s="48">
        <f>SUM(G11/G27*100)</f>
        <v>0</v>
      </c>
      <c r="I11" s="84"/>
      <c r="J11" s="56"/>
      <c r="K11" s="58">
        <f>SUM(J11/J27*100)</f>
        <v>0</v>
      </c>
      <c r="L11" s="84">
        <f>SUM(J11-G11)</f>
        <v>0</v>
      </c>
      <c r="M11" s="60"/>
      <c r="N11" s="61"/>
      <c r="O11" s="62"/>
      <c r="P11" s="74" t="e">
        <f t="shared" ref="P11:P18" si="4">J11/(G11+I11)*100</f>
        <v>#DIV/0!</v>
      </c>
      <c r="Q11" s="437"/>
      <c r="R11" s="3"/>
      <c r="S11" s="4"/>
      <c r="T11" s="3"/>
      <c r="U11" s="3"/>
      <c r="V11" s="3"/>
      <c r="Y11" s="197"/>
    </row>
    <row r="12" spans="2:25">
      <c r="B12" s="434"/>
      <c r="C12" s="389" t="s">
        <v>160</v>
      </c>
      <c r="D12" s="54" t="s">
        <v>146</v>
      </c>
      <c r="E12" s="55">
        <v>4</v>
      </c>
      <c r="F12" s="404">
        <v>61500000</v>
      </c>
      <c r="G12" s="177"/>
      <c r="H12" s="48">
        <f>SUM(G12/G27*100)</f>
        <v>0</v>
      </c>
      <c r="I12" s="49"/>
      <c r="J12" s="46"/>
      <c r="K12" s="48">
        <f>SUM(J12/J27*100)</f>
        <v>0</v>
      </c>
      <c r="L12" s="49">
        <f>SUM(J12-G12)</f>
        <v>0</v>
      </c>
      <c r="M12" s="50"/>
      <c r="N12" s="51"/>
      <c r="O12" s="52">
        <f t="shared" si="1"/>
        <v>0</v>
      </c>
      <c r="P12" s="74" t="e">
        <f t="shared" si="4"/>
        <v>#DIV/0!</v>
      </c>
      <c r="Q12" s="437"/>
      <c r="R12" s="3" t="s">
        <v>25</v>
      </c>
      <c r="S12" s="4">
        <v>12922500</v>
      </c>
      <c r="T12" s="3">
        <v>921</v>
      </c>
      <c r="U12" s="3">
        <v>16</v>
      </c>
      <c r="V12" s="3">
        <f t="shared" si="3"/>
        <v>937</v>
      </c>
      <c r="Y12" s="198"/>
    </row>
    <row r="13" spans="2:25">
      <c r="B13" s="434"/>
      <c r="C13" s="388" t="s">
        <v>155</v>
      </c>
      <c r="D13" s="44" t="s">
        <v>147</v>
      </c>
      <c r="E13" s="45">
        <v>1</v>
      </c>
      <c r="F13" s="404">
        <v>16400000</v>
      </c>
      <c r="G13" s="177"/>
      <c r="H13" s="48">
        <f>SUM(G13/G27*100)</f>
        <v>0</v>
      </c>
      <c r="I13" s="49"/>
      <c r="J13" s="46"/>
      <c r="K13" s="48">
        <f>SUM(J13/J27*100)</f>
        <v>0</v>
      </c>
      <c r="L13" s="49">
        <f t="shared" si="0"/>
        <v>0</v>
      </c>
      <c r="M13" s="50"/>
      <c r="N13" s="51"/>
      <c r="O13" s="52">
        <f t="shared" si="1"/>
        <v>0</v>
      </c>
      <c r="P13" s="74" t="e">
        <f t="shared" si="4"/>
        <v>#DIV/0!</v>
      </c>
      <c r="Q13" s="437"/>
      <c r="R13" s="3"/>
      <c r="S13" s="4">
        <f>SUM(S6:S12)</f>
        <v>41468000</v>
      </c>
      <c r="T13" s="4">
        <f>SUM(T6:T12)</f>
        <v>2876</v>
      </c>
      <c r="U13" s="4">
        <f>SUM(U6:U12)</f>
        <v>84</v>
      </c>
      <c r="V13" s="4">
        <f>SUM(V6:V12)</f>
        <v>2960</v>
      </c>
      <c r="Y13" s="198"/>
    </row>
    <row r="14" spans="2:25" ht="17.25" customHeight="1">
      <c r="B14" s="434"/>
      <c r="C14" s="388" t="s">
        <v>149</v>
      </c>
      <c r="D14" s="190" t="s">
        <v>148</v>
      </c>
      <c r="E14" s="45">
        <v>1</v>
      </c>
      <c r="F14" s="406"/>
      <c r="G14" s="191"/>
      <c r="H14" s="48">
        <f>SUM(G14/G27*100)</f>
        <v>0</v>
      </c>
      <c r="I14" s="84"/>
      <c r="J14" s="185"/>
      <c r="K14" s="189">
        <f>SUM(J14/J27*100)</f>
        <v>0</v>
      </c>
      <c r="L14" s="84">
        <f>SUM(J14-G14)</f>
        <v>0</v>
      </c>
      <c r="M14" s="148"/>
      <c r="N14" s="186"/>
      <c r="O14" s="187">
        <f>SUM(M14:N14)</f>
        <v>0</v>
      </c>
      <c r="P14" s="74" t="e">
        <f t="shared" si="4"/>
        <v>#DIV/0!</v>
      </c>
      <c r="Q14" s="437"/>
      <c r="R14" s="3" t="s">
        <v>26</v>
      </c>
      <c r="S14" s="4">
        <v>4219000</v>
      </c>
      <c r="T14" s="3">
        <v>140</v>
      </c>
      <c r="U14" s="3">
        <v>72</v>
      </c>
      <c r="V14" s="7">
        <f t="shared" ref="V14" si="5">SUM(T14:U14)</f>
        <v>212</v>
      </c>
      <c r="Y14" s="199"/>
    </row>
    <row r="15" spans="2:25" ht="17.25" customHeight="1">
      <c r="B15" s="434"/>
      <c r="C15" s="388" t="s">
        <v>150</v>
      </c>
      <c r="D15" s="190" t="s">
        <v>148</v>
      </c>
      <c r="E15" s="45">
        <v>1</v>
      </c>
      <c r="F15" s="407"/>
      <c r="G15" s="394"/>
      <c r="H15" s="48">
        <f>SUM(G15/G27*100)</f>
        <v>0</v>
      </c>
      <c r="I15" s="84"/>
      <c r="J15" s="185"/>
      <c r="K15" s="189">
        <f>SUM(J15/J27*100)</f>
        <v>0</v>
      </c>
      <c r="L15" s="84">
        <f t="shared" ref="L15:L17" si="6">SUM(J15-G15)</f>
        <v>0</v>
      </c>
      <c r="M15" s="395"/>
      <c r="N15" s="396"/>
      <c r="O15" s="397"/>
      <c r="P15" s="74" t="e">
        <f t="shared" si="4"/>
        <v>#DIV/0!</v>
      </c>
      <c r="Q15" s="437"/>
      <c r="R15" s="3"/>
      <c r="S15" s="4"/>
      <c r="T15" s="3"/>
      <c r="U15" s="3"/>
      <c r="V15" s="7"/>
      <c r="Y15" s="199"/>
    </row>
    <row r="16" spans="2:25" ht="17.25" customHeight="1">
      <c r="B16" s="434"/>
      <c r="C16" s="390" t="s">
        <v>174</v>
      </c>
      <c r="D16" s="190" t="s">
        <v>148</v>
      </c>
      <c r="E16" s="45">
        <v>1</v>
      </c>
      <c r="F16" s="407">
        <v>139500000</v>
      </c>
      <c r="G16" s="394"/>
      <c r="H16" s="48">
        <f t="shared" ref="H16" si="7">SUM(G16/G29*100)</f>
        <v>0</v>
      </c>
      <c r="I16" s="84"/>
      <c r="J16" s="185"/>
      <c r="K16" s="189">
        <f t="shared" ref="K16" si="8">SUM(J16/J29*100)</f>
        <v>0</v>
      </c>
      <c r="L16" s="84">
        <f t="shared" si="6"/>
        <v>0</v>
      </c>
      <c r="M16" s="395"/>
      <c r="N16" s="396"/>
      <c r="O16" s="397"/>
      <c r="P16" s="74" t="e">
        <f t="shared" si="4"/>
        <v>#DIV/0!</v>
      </c>
      <c r="Q16" s="437"/>
      <c r="R16" s="3"/>
      <c r="S16" s="4"/>
      <c r="T16" s="3"/>
      <c r="U16" s="3"/>
      <c r="V16" s="7"/>
      <c r="Y16" s="199"/>
    </row>
    <row r="17" spans="2:25" ht="17.25" customHeight="1">
      <c r="B17" s="434"/>
      <c r="C17" s="398" t="s">
        <v>163</v>
      </c>
      <c r="D17" s="190" t="s">
        <v>152</v>
      </c>
      <c r="E17" s="45">
        <v>10</v>
      </c>
      <c r="F17" s="407">
        <v>61500000</v>
      </c>
      <c r="G17" s="394"/>
      <c r="H17" s="48">
        <f>SUM(G17/G27*100)</f>
        <v>0</v>
      </c>
      <c r="I17" s="84"/>
      <c r="J17" s="185"/>
      <c r="K17" s="189">
        <f>SUM(J17/J27*100)</f>
        <v>0</v>
      </c>
      <c r="L17" s="84">
        <f t="shared" si="6"/>
        <v>0</v>
      </c>
      <c r="M17" s="395"/>
      <c r="N17" s="396"/>
      <c r="O17" s="397"/>
      <c r="P17" s="74" t="e">
        <f t="shared" si="4"/>
        <v>#DIV/0!</v>
      </c>
      <c r="Q17" s="437"/>
      <c r="R17" s="3"/>
      <c r="S17" s="4"/>
      <c r="T17" s="3"/>
      <c r="U17" s="3"/>
      <c r="V17" s="7"/>
      <c r="Y17" s="199"/>
    </row>
    <row r="18" spans="2:25" ht="17.25" thickBot="1">
      <c r="B18" s="435"/>
      <c r="C18" s="401" t="s">
        <v>175</v>
      </c>
      <c r="D18" s="399"/>
      <c r="E18" s="400"/>
      <c r="F18" s="408">
        <v>106500000</v>
      </c>
      <c r="G18" s="254"/>
      <c r="H18" s="63">
        <f>SUM(G18/G29*100)</f>
        <v>0</v>
      </c>
      <c r="I18" s="255"/>
      <c r="J18" s="256"/>
      <c r="K18" s="63">
        <f>SUM(J18/J29*100)</f>
        <v>0</v>
      </c>
      <c r="L18" s="253">
        <f>J18-G18</f>
        <v>0</v>
      </c>
      <c r="M18" s="192"/>
      <c r="N18" s="193"/>
      <c r="O18" s="194">
        <f>SUM(M18:N18)</f>
        <v>0</v>
      </c>
      <c r="P18" s="74" t="e">
        <f t="shared" si="4"/>
        <v>#DIV/0!</v>
      </c>
      <c r="Q18" s="438"/>
      <c r="R18" s="3" t="s">
        <v>28</v>
      </c>
      <c r="S18" s="4">
        <v>9331000</v>
      </c>
      <c r="T18" s="3">
        <v>333</v>
      </c>
      <c r="U18" s="3">
        <v>346</v>
      </c>
      <c r="V18" s="7">
        <f>SUM(T18:U18)</f>
        <v>679</v>
      </c>
      <c r="Y18" s="198"/>
    </row>
    <row r="19" spans="2:25">
      <c r="B19" s="80"/>
      <c r="C19" s="389" t="s">
        <v>158</v>
      </c>
      <c r="D19" s="202" t="s">
        <v>32</v>
      </c>
      <c r="E19" s="200">
        <v>4</v>
      </c>
      <c r="F19" s="409">
        <v>215500000</v>
      </c>
      <c r="G19" s="177">
        <v>214423700</v>
      </c>
      <c r="H19" s="83">
        <f>SUM(G19/G27*100)</f>
        <v>43.356746954399306</v>
      </c>
      <c r="I19" s="413">
        <v>9615860</v>
      </c>
      <c r="J19" s="257">
        <v>243206500</v>
      </c>
      <c r="K19" s="58">
        <f>SUM(J19/J27*100)</f>
        <v>54.260549652263201</v>
      </c>
      <c r="L19" s="59">
        <f>SUM(J19-G19)</f>
        <v>28782800</v>
      </c>
      <c r="M19" s="188">
        <v>3286</v>
      </c>
      <c r="N19" s="82">
        <v>46</v>
      </c>
      <c r="O19" s="62">
        <f>SUM(M19:N19)</f>
        <v>3332</v>
      </c>
      <c r="P19" s="258">
        <f t="shared" ref="P19" si="9">J19/(G19+I19)*100</f>
        <v>108.55515874071526</v>
      </c>
      <c r="Q19" s="81"/>
      <c r="R19" s="3"/>
      <c r="S19" s="4"/>
      <c r="T19" s="3"/>
      <c r="U19" s="3"/>
      <c r="V19" s="7"/>
      <c r="Y19" s="197"/>
    </row>
    <row r="20" spans="2:25">
      <c r="B20" s="434" t="s">
        <v>29</v>
      </c>
      <c r="C20" s="388" t="s">
        <v>134</v>
      </c>
      <c r="D20" s="44" t="s">
        <v>143</v>
      </c>
      <c r="E20" s="201">
        <v>4</v>
      </c>
      <c r="F20" s="406">
        <v>50000000</v>
      </c>
      <c r="G20" s="47">
        <f>G45</f>
        <v>11236500</v>
      </c>
      <c r="H20" s="48">
        <f>SUM(G20/G27*100)</f>
        <v>2.2720347011692636</v>
      </c>
      <c r="I20" s="84">
        <f>I45</f>
        <v>346302</v>
      </c>
      <c r="J20" s="46">
        <f>J45</f>
        <v>11838000</v>
      </c>
      <c r="K20" s="48">
        <f>SUM(J20/J27*100)</f>
        <v>2.6411152119021977</v>
      </c>
      <c r="L20" s="49">
        <f t="shared" ref="L20:L21" si="10">SUM(J20-G20)</f>
        <v>601500</v>
      </c>
      <c r="M20" s="50">
        <f>M45</f>
        <v>581</v>
      </c>
      <c r="N20" s="51">
        <f>N45</f>
        <v>42</v>
      </c>
      <c r="O20" s="52">
        <f t="shared" ref="O20:O21" si="11">SUM(M20:N20)</f>
        <v>623</v>
      </c>
      <c r="P20" s="53">
        <f t="shared" ref="P20:P21" si="12">J20/(G20+I20)*100</f>
        <v>102.20324926559221</v>
      </c>
      <c r="Q20" s="437">
        <f>Q30</f>
        <v>412.95078179060505</v>
      </c>
      <c r="R20" s="3"/>
      <c r="S20" s="4"/>
      <c r="T20" s="3"/>
      <c r="U20" s="3"/>
      <c r="V20" s="3"/>
      <c r="Y20" s="197"/>
    </row>
    <row r="21" spans="2:25">
      <c r="B21" s="434"/>
      <c r="C21" s="388" t="s">
        <v>156</v>
      </c>
      <c r="D21" s="44" t="s">
        <v>24</v>
      </c>
      <c r="E21" s="45">
        <v>6</v>
      </c>
      <c r="F21" s="404">
        <v>66500000</v>
      </c>
      <c r="G21" s="47">
        <v>65292500</v>
      </c>
      <c r="H21" s="48">
        <f>SUM(G21/G27*100)</f>
        <v>13.202227181604071</v>
      </c>
      <c r="I21" s="49">
        <v>4166809</v>
      </c>
      <c r="J21" s="46">
        <v>119328300</v>
      </c>
      <c r="K21" s="48">
        <f>SUM(J21/J27*100)</f>
        <v>26.622722448084897</v>
      </c>
      <c r="L21" s="49">
        <f t="shared" si="10"/>
        <v>54035800</v>
      </c>
      <c r="M21" s="50">
        <v>3185</v>
      </c>
      <c r="N21" s="51">
        <v>174</v>
      </c>
      <c r="O21" s="52">
        <f t="shared" si="11"/>
        <v>3359</v>
      </c>
      <c r="P21" s="53">
        <f t="shared" si="12"/>
        <v>171.7959791393836</v>
      </c>
      <c r="Q21" s="437"/>
      <c r="R21" s="3"/>
      <c r="S21" s="4"/>
      <c r="T21" s="3"/>
      <c r="U21" s="3"/>
      <c r="V21" s="3"/>
      <c r="Y21" s="198"/>
    </row>
    <row r="22" spans="2:25">
      <c r="B22" s="434"/>
      <c r="C22" s="392" t="s">
        <v>159</v>
      </c>
      <c r="D22" s="44" t="s">
        <v>147</v>
      </c>
      <c r="E22" s="45">
        <v>4</v>
      </c>
      <c r="F22" s="404">
        <v>170300000</v>
      </c>
      <c r="G22" s="47"/>
      <c r="H22" s="48">
        <f>SUM(G22/G27*100)</f>
        <v>0</v>
      </c>
      <c r="I22" s="49"/>
      <c r="J22" s="46"/>
      <c r="K22" s="48">
        <f>SUM(J22/J27*100)</f>
        <v>0</v>
      </c>
      <c r="L22" s="49">
        <f>SUM(J22-G22)</f>
        <v>0</v>
      </c>
      <c r="M22" s="50"/>
      <c r="N22" s="51"/>
      <c r="O22" s="52">
        <f>SUM(M22:N22)</f>
        <v>0</v>
      </c>
      <c r="P22" s="53" t="e">
        <f>J22/(G22+I22)*100</f>
        <v>#DIV/0!</v>
      </c>
      <c r="Q22" s="437"/>
      <c r="R22" s="3"/>
      <c r="S22" s="4"/>
      <c r="T22" s="3"/>
      <c r="U22" s="3"/>
      <c r="V22" s="3"/>
      <c r="Y22" s="198"/>
    </row>
    <row r="23" spans="2:25">
      <c r="B23" s="434"/>
      <c r="C23" s="393" t="s">
        <v>157</v>
      </c>
      <c r="D23" s="54" t="s">
        <v>148</v>
      </c>
      <c r="E23" s="55">
        <v>6</v>
      </c>
      <c r="F23" s="405">
        <v>61500000</v>
      </c>
      <c r="G23" s="57"/>
      <c r="H23" s="48">
        <f>SUM(G23/G27*100)</f>
        <v>0</v>
      </c>
      <c r="I23" s="59"/>
      <c r="J23" s="56"/>
      <c r="K23" s="48">
        <f>SUM(J23/J27*100)</f>
        <v>0</v>
      </c>
      <c r="L23" s="59">
        <f>SUM(J23-G23)</f>
        <v>0</v>
      </c>
      <c r="M23" s="60"/>
      <c r="N23" s="61"/>
      <c r="O23" s="62">
        <f>SUM(M23:N23)</f>
        <v>0</v>
      </c>
      <c r="P23" s="74" t="e">
        <f t="shared" ref="P23:P24" si="13">J23/(G23+I23)*100</f>
        <v>#DIV/0!</v>
      </c>
      <c r="Q23" s="437"/>
      <c r="R23" s="3"/>
      <c r="S23" s="4"/>
      <c r="T23" s="3"/>
      <c r="U23" s="3"/>
      <c r="V23" s="3"/>
      <c r="Y23" s="198"/>
    </row>
    <row r="24" spans="2:25">
      <c r="B24" s="434"/>
      <c r="C24" s="392" t="s">
        <v>151</v>
      </c>
      <c r="D24" s="44" t="s">
        <v>33</v>
      </c>
      <c r="E24" s="45">
        <v>6</v>
      </c>
      <c r="F24" s="405">
        <v>66500000</v>
      </c>
      <c r="G24" s="57"/>
      <c r="H24" s="48">
        <f>SUM(G24/G27*100)</f>
        <v>0</v>
      </c>
      <c r="I24" s="59"/>
      <c r="J24" s="56"/>
      <c r="K24" s="48">
        <f t="shared" ref="K24" si="14">SUM(J24/J29*100)</f>
        <v>0</v>
      </c>
      <c r="L24" s="59">
        <f>SUM(J24-G24)</f>
        <v>0</v>
      </c>
      <c r="M24" s="60"/>
      <c r="N24" s="61"/>
      <c r="O24" s="62"/>
      <c r="P24" s="74" t="e">
        <f t="shared" si="13"/>
        <v>#DIV/0!</v>
      </c>
      <c r="Q24" s="437"/>
      <c r="R24" s="3"/>
      <c r="S24" s="4"/>
      <c r="T24" s="3"/>
      <c r="U24" s="3"/>
      <c r="V24" s="3"/>
      <c r="Y24" s="198"/>
    </row>
    <row r="25" spans="2:25">
      <c r="B25" s="434"/>
      <c r="C25" s="392" t="s">
        <v>164</v>
      </c>
      <c r="D25" s="44" t="s">
        <v>152</v>
      </c>
      <c r="E25" s="45" t="s">
        <v>162</v>
      </c>
      <c r="F25" s="404">
        <v>56500000</v>
      </c>
      <c r="G25" s="47"/>
      <c r="H25" s="48">
        <f>SUM(G25/G27*100)</f>
        <v>0</v>
      </c>
      <c r="I25" s="84"/>
      <c r="J25" s="46"/>
      <c r="K25" s="48">
        <f>SUM(J25/J27*100)</f>
        <v>0</v>
      </c>
      <c r="L25" s="49">
        <f t="shared" si="0"/>
        <v>0</v>
      </c>
      <c r="M25" s="50"/>
      <c r="N25" s="51"/>
      <c r="O25" s="52">
        <f t="shared" si="1"/>
        <v>0</v>
      </c>
      <c r="P25" s="53" t="e">
        <f t="shared" si="2"/>
        <v>#DIV/0!</v>
      </c>
      <c r="Q25" s="437"/>
      <c r="R25" s="3" t="s">
        <v>34</v>
      </c>
      <c r="S25" s="4">
        <v>5000000</v>
      </c>
      <c r="T25" s="3">
        <v>548</v>
      </c>
      <c r="U25" s="3">
        <v>9</v>
      </c>
      <c r="V25" s="7">
        <f>SUM(T25:U25)</f>
        <v>557</v>
      </c>
      <c r="Y25" s="198"/>
    </row>
    <row r="26" spans="2:25" ht="17.25" thickBot="1">
      <c r="B26" s="434"/>
      <c r="C26" s="392"/>
      <c r="D26" s="44"/>
      <c r="E26" s="45"/>
      <c r="F26" s="195"/>
      <c r="G26" s="47"/>
      <c r="H26" s="48">
        <f>SUM(G26/G27*100)</f>
        <v>0</v>
      </c>
      <c r="I26" s="49"/>
      <c r="J26" s="46"/>
      <c r="K26" s="48">
        <f>SUM(J26/J27*100)</f>
        <v>0</v>
      </c>
      <c r="L26" s="49">
        <f t="shared" si="0"/>
        <v>0</v>
      </c>
      <c r="M26" s="50"/>
      <c r="N26" s="51"/>
      <c r="O26" s="52">
        <f t="shared" si="1"/>
        <v>0</v>
      </c>
      <c r="P26" s="53" t="e">
        <f t="shared" si="2"/>
        <v>#DIV/0!</v>
      </c>
      <c r="Q26" s="438"/>
      <c r="R26" s="3"/>
      <c r="S26" s="4"/>
      <c r="T26" s="3"/>
      <c r="U26" s="3"/>
      <c r="V26" s="7"/>
      <c r="Y26" s="147"/>
    </row>
    <row r="27" spans="2:25" ht="17.25" thickBot="1">
      <c r="B27" s="428" t="s">
        <v>35</v>
      </c>
      <c r="C27" s="429"/>
      <c r="D27" s="430"/>
      <c r="E27" s="64">
        <f t="shared" ref="E27:O27" si="15">SUM(E6:E26)</f>
        <v>64</v>
      </c>
      <c r="F27" s="65">
        <f>SUM(F6:F26)</f>
        <v>1442200000</v>
      </c>
      <c r="G27" s="75">
        <f t="shared" si="15"/>
        <v>494556707</v>
      </c>
      <c r="H27" s="66">
        <f t="shared" si="15"/>
        <v>100</v>
      </c>
      <c r="I27" s="67">
        <f t="shared" si="15"/>
        <v>16037132</v>
      </c>
      <c r="J27" s="65">
        <f t="shared" si="15"/>
        <v>448219750</v>
      </c>
      <c r="K27" s="66">
        <f t="shared" si="15"/>
        <v>100</v>
      </c>
      <c r="L27" s="67">
        <f t="shared" si="15"/>
        <v>-46336957</v>
      </c>
      <c r="M27" s="68">
        <f t="shared" si="15"/>
        <v>8817</v>
      </c>
      <c r="N27" s="69">
        <f t="shared" si="15"/>
        <v>673</v>
      </c>
      <c r="O27" s="70">
        <f t="shared" si="15"/>
        <v>9490</v>
      </c>
      <c r="P27" s="71">
        <f>J27/(G27+I27)*100</f>
        <v>87.784010648824136</v>
      </c>
      <c r="Q27" s="72">
        <f>J27/(G27+I27)*100</f>
        <v>87.784010648824136</v>
      </c>
      <c r="R27" s="3"/>
      <c r="S27" s="4"/>
      <c r="T27" s="3"/>
      <c r="U27" s="3"/>
      <c r="V27" s="3"/>
      <c r="Y27" s="146"/>
    </row>
    <row r="29" spans="2:25">
      <c r="G29" s="73">
        <f>SUM(G6:G18)</f>
        <v>203604007</v>
      </c>
      <c r="H29" s="73"/>
      <c r="I29" s="73">
        <f>SUM(I6:I18)</f>
        <v>1908161</v>
      </c>
      <c r="J29" s="73">
        <f>SUM(J6:J18)</f>
        <v>73846950</v>
      </c>
      <c r="Q29">
        <f>(J29/(G29+I29))*100</f>
        <v>35.933127813629021</v>
      </c>
    </row>
    <row r="30" spans="2:25">
      <c r="G30" s="73">
        <f>SUM(G20:G26)</f>
        <v>76529000</v>
      </c>
      <c r="H30" s="73"/>
      <c r="I30" s="73">
        <f>SUM(I19:I26)</f>
        <v>14128971</v>
      </c>
      <c r="J30" s="73">
        <f>SUM(J19:J26)</f>
        <v>374372800</v>
      </c>
      <c r="Q30">
        <f>(J30/(G30+I30))*100</f>
        <v>412.95078179060505</v>
      </c>
    </row>
    <row r="31" spans="2:25" ht="17.25" thickBot="1">
      <c r="H31" s="14"/>
      <c r="I31" s="6"/>
    </row>
    <row r="32" spans="2:25" ht="16.5" customHeight="1" thickBot="1">
      <c r="B32" s="422" t="s">
        <v>1</v>
      </c>
      <c r="C32" s="422"/>
      <c r="D32" s="422" t="s">
        <v>2</v>
      </c>
      <c r="E32" s="422" t="s">
        <v>3</v>
      </c>
      <c r="F32" s="422" t="s">
        <v>4</v>
      </c>
      <c r="G32" s="422" t="s">
        <v>5</v>
      </c>
      <c r="H32" s="422"/>
      <c r="I32" s="423" t="s">
        <v>6</v>
      </c>
      <c r="J32" s="422" t="s">
        <v>7</v>
      </c>
      <c r="K32" s="422"/>
      <c r="L32" s="423" t="s">
        <v>8</v>
      </c>
      <c r="M32" s="422" t="s">
        <v>9</v>
      </c>
      <c r="N32" s="422"/>
      <c r="O32" s="422"/>
      <c r="P32" s="424" t="s">
        <v>10</v>
      </c>
      <c r="Q32" s="420" t="s">
        <v>10</v>
      </c>
    </row>
    <row r="33" spans="2:27" ht="17.25" thickBot="1">
      <c r="B33" s="422"/>
      <c r="C33" s="422"/>
      <c r="D33" s="422"/>
      <c r="E33" s="422"/>
      <c r="F33" s="422"/>
      <c r="G33" s="90" t="s">
        <v>11</v>
      </c>
      <c r="H33" s="151" t="s">
        <v>12</v>
      </c>
      <c r="I33" s="423"/>
      <c r="J33" s="91" t="s">
        <v>13</v>
      </c>
      <c r="K33" s="91" t="s">
        <v>12</v>
      </c>
      <c r="L33" s="423"/>
      <c r="M33" s="90" t="s">
        <v>14</v>
      </c>
      <c r="N33" s="90" t="s">
        <v>15</v>
      </c>
      <c r="O33" s="90" t="s">
        <v>16</v>
      </c>
      <c r="P33" s="425"/>
      <c r="Q33" s="421"/>
    </row>
    <row r="34" spans="2:27" ht="17.25" thickBot="1">
      <c r="B34" s="92"/>
      <c r="C34" s="411" t="s">
        <v>166</v>
      </c>
      <c r="D34" s="85" t="s">
        <v>36</v>
      </c>
      <c r="E34" s="86">
        <v>1</v>
      </c>
      <c r="F34" s="87"/>
      <c r="G34" s="149">
        <v>4835810</v>
      </c>
      <c r="H34" s="88" t="e">
        <f>SUM(G34/F34*100)</f>
        <v>#DIV/0!</v>
      </c>
      <c r="I34" s="150">
        <v>127496</v>
      </c>
      <c r="J34" s="87">
        <v>3938500</v>
      </c>
      <c r="K34" s="88" t="e">
        <f>SUM(J34/J49*100)</f>
        <v>#DIV/0!</v>
      </c>
      <c r="L34" s="87">
        <f>SUM(J34-G34)</f>
        <v>-897310</v>
      </c>
      <c r="M34" s="89">
        <v>179</v>
      </c>
      <c r="N34" s="89">
        <v>30</v>
      </c>
      <c r="O34" s="89">
        <f>SUM(M34:N34)</f>
        <v>209</v>
      </c>
      <c r="P34" s="93">
        <f>J34/(G34+I34)*100</f>
        <v>79.35235103376661</v>
      </c>
      <c r="Q34" s="426" t="e">
        <f>AVERAGE(P34:P36)</f>
        <v>#DIV/0!</v>
      </c>
    </row>
    <row r="35" spans="2:27" ht="17.25" thickBot="1">
      <c r="B35" s="92"/>
      <c r="C35" s="411" t="s">
        <v>167</v>
      </c>
      <c r="D35" s="85" t="s">
        <v>148</v>
      </c>
      <c r="E35" s="86">
        <v>2</v>
      </c>
      <c r="F35" s="87"/>
      <c r="G35" s="149"/>
      <c r="H35" s="88" t="e">
        <f>SUM(G35/F35*100)</f>
        <v>#DIV/0!</v>
      </c>
      <c r="I35" s="150"/>
      <c r="J35" s="87"/>
      <c r="K35" s="88" t="e">
        <f>SUM(J35/J50*100)</f>
        <v>#DIV/0!</v>
      </c>
      <c r="L35" s="87">
        <f>SUM(J35-G35)</f>
        <v>0</v>
      </c>
      <c r="M35" s="89"/>
      <c r="N35" s="89"/>
      <c r="O35" s="89">
        <f>SUM(M35:N35)</f>
        <v>0</v>
      </c>
      <c r="P35" s="93" t="e">
        <f>J35/(G35+I35)*100</f>
        <v>#DIV/0!</v>
      </c>
      <c r="Q35" s="427"/>
    </row>
    <row r="36" spans="2:27" ht="17.25" thickBot="1">
      <c r="B36" s="92"/>
      <c r="C36" s="411" t="s">
        <v>168</v>
      </c>
      <c r="D36" s="85" t="s">
        <v>33</v>
      </c>
      <c r="E36" s="86" t="s">
        <v>162</v>
      </c>
      <c r="F36" s="87"/>
      <c r="G36" s="149"/>
      <c r="H36" s="88" t="e">
        <f>SUM(G36/F36*100)</f>
        <v>#DIV/0!</v>
      </c>
      <c r="I36" s="150"/>
      <c r="J36" s="87"/>
      <c r="K36" s="88" t="e">
        <f>SUM(J36/J51*100)</f>
        <v>#DIV/0!</v>
      </c>
      <c r="L36" s="87">
        <f>SUM(J36-G36)</f>
        <v>0</v>
      </c>
      <c r="M36" s="89"/>
      <c r="N36" s="89"/>
      <c r="O36" s="89">
        <f>SUM(M36:N36)</f>
        <v>0</v>
      </c>
      <c r="P36" s="93" t="e">
        <f>J36/(G36+I36)*100</f>
        <v>#DIV/0!</v>
      </c>
      <c r="Q36" s="427"/>
    </row>
    <row r="37" spans="2:27">
      <c r="C37" s="415"/>
      <c r="D37" s="416"/>
      <c r="E37" s="417">
        <f>SUM(E34:E36)</f>
        <v>3</v>
      </c>
      <c r="F37" s="418">
        <f>SUM(F34:F36)</f>
        <v>0</v>
      </c>
      <c r="G37" s="418">
        <f>SUM(G34:G36)</f>
        <v>4835810</v>
      </c>
      <c r="H37" s="419"/>
      <c r="I37" s="418">
        <f>SUM(I34:I36)</f>
        <v>127496</v>
      </c>
      <c r="J37" s="418">
        <f>SUM(J34:J36)</f>
        <v>3938500</v>
      </c>
      <c r="K37" s="419"/>
      <c r="L37" s="418">
        <f>SUM(L34:L36)</f>
        <v>-897310</v>
      </c>
      <c r="M37" s="419">
        <f>SUM(M34:M36)</f>
        <v>179</v>
      </c>
      <c r="N37" s="419">
        <f>SUM(N34:N36)</f>
        <v>30</v>
      </c>
      <c r="O37" s="419">
        <f>SUM(O34:O36)</f>
        <v>209</v>
      </c>
      <c r="P37" s="414"/>
      <c r="Q37" s="414"/>
    </row>
    <row r="38" spans="2:27" ht="17.25" thickBot="1"/>
    <row r="39" spans="2:27" ht="17.25" thickBot="1">
      <c r="B39" s="422" t="s">
        <v>1</v>
      </c>
      <c r="C39" s="422"/>
      <c r="D39" s="422" t="s">
        <v>2</v>
      </c>
      <c r="E39" s="422" t="s">
        <v>3</v>
      </c>
      <c r="F39" s="422" t="s">
        <v>4</v>
      </c>
      <c r="G39" s="422" t="s">
        <v>5</v>
      </c>
      <c r="H39" s="422"/>
      <c r="I39" s="423" t="s">
        <v>6</v>
      </c>
      <c r="J39" s="422" t="s">
        <v>7</v>
      </c>
      <c r="K39" s="422"/>
      <c r="L39" s="423" t="s">
        <v>8</v>
      </c>
      <c r="M39" s="422" t="s">
        <v>9</v>
      </c>
      <c r="N39" s="422"/>
      <c r="O39" s="422"/>
      <c r="P39" s="424" t="s">
        <v>10</v>
      </c>
      <c r="Q39" s="420" t="s">
        <v>10</v>
      </c>
    </row>
    <row r="40" spans="2:27" ht="17.25" thickBot="1">
      <c r="B40" s="422"/>
      <c r="C40" s="422"/>
      <c r="D40" s="422"/>
      <c r="E40" s="422"/>
      <c r="F40" s="422"/>
      <c r="G40" s="90" t="s">
        <v>11</v>
      </c>
      <c r="H40" s="91" t="s">
        <v>12</v>
      </c>
      <c r="I40" s="423"/>
      <c r="J40" s="91" t="s">
        <v>13</v>
      </c>
      <c r="K40" s="91" t="s">
        <v>12</v>
      </c>
      <c r="L40" s="423"/>
      <c r="M40" s="90" t="s">
        <v>14</v>
      </c>
      <c r="N40" s="90" t="s">
        <v>15</v>
      </c>
      <c r="O40" s="90" t="s">
        <v>16</v>
      </c>
      <c r="P40" s="425"/>
      <c r="Q40" s="421"/>
      <c r="X40" s="3" t="s">
        <v>37</v>
      </c>
      <c r="Y40" s="3" t="s">
        <v>38</v>
      </c>
      <c r="Z40" s="3" t="s">
        <v>39</v>
      </c>
      <c r="AA40" s="3" t="s">
        <v>40</v>
      </c>
    </row>
    <row r="41" spans="2:27" ht="17.25" thickBot="1">
      <c r="B41" s="92"/>
      <c r="C41" s="411" t="s">
        <v>169</v>
      </c>
      <c r="D41" s="85" t="s">
        <v>22</v>
      </c>
      <c r="E41" s="86">
        <v>1</v>
      </c>
      <c r="F41" s="87">
        <v>12500000</v>
      </c>
      <c r="G41" s="87">
        <v>11236500</v>
      </c>
      <c r="H41" s="88" t="e">
        <f>SUM(G41/G55*100)</f>
        <v>#DIV/0!</v>
      </c>
      <c r="I41" s="87">
        <v>145464</v>
      </c>
      <c r="J41" s="87">
        <v>5264000</v>
      </c>
      <c r="K41" s="88" t="e">
        <f>SUM(J41/J55*100)</f>
        <v>#DIV/0!</v>
      </c>
      <c r="L41" s="87">
        <f>SUM(J41-G41)</f>
        <v>-5972500</v>
      </c>
      <c r="M41" s="89">
        <v>270</v>
      </c>
      <c r="N41" s="89">
        <v>28</v>
      </c>
      <c r="O41" s="89">
        <f>SUM(M41:N41)</f>
        <v>298</v>
      </c>
      <c r="P41" s="93">
        <f>J41/(G41+I41)*100</f>
        <v>46.248608763830212</v>
      </c>
      <c r="X41" s="7"/>
      <c r="Y41" s="7"/>
      <c r="Z41" s="412"/>
      <c r="AA41" s="7"/>
    </row>
    <row r="42" spans="2:27" ht="17.25" thickBot="1">
      <c r="B42" s="92"/>
      <c r="C42" s="411" t="s">
        <v>170</v>
      </c>
      <c r="D42" s="85" t="s">
        <v>30</v>
      </c>
      <c r="E42" s="86">
        <v>1</v>
      </c>
      <c r="F42" s="87">
        <v>12500000</v>
      </c>
      <c r="G42" s="87"/>
      <c r="H42" s="88" t="e">
        <f t="shared" ref="H42:H44" si="16">SUM(G42/G56*100)</f>
        <v>#DIV/0!</v>
      </c>
      <c r="I42" s="87">
        <v>200838</v>
      </c>
      <c r="J42" s="87">
        <v>6574000</v>
      </c>
      <c r="K42" s="88" t="e">
        <f>SUM(J42/J56*100)</f>
        <v>#DIV/0!</v>
      </c>
      <c r="L42" s="87">
        <f>SUM(J42-G42)</f>
        <v>6574000</v>
      </c>
      <c r="M42" s="89">
        <v>311</v>
      </c>
      <c r="N42" s="89">
        <v>14</v>
      </c>
      <c r="O42" s="89">
        <f>SUM(M42:N42)</f>
        <v>325</v>
      </c>
      <c r="P42" s="93">
        <f>J42/(G42+I42)*100</f>
        <v>3273.2849361176668</v>
      </c>
      <c r="X42" s="7"/>
      <c r="Y42" s="7"/>
      <c r="Z42" s="7"/>
      <c r="AA42" s="7"/>
    </row>
    <row r="43" spans="2:27" ht="17.25" thickBot="1">
      <c r="B43" s="92"/>
      <c r="C43" s="411" t="s">
        <v>172</v>
      </c>
      <c r="D43" s="85" t="s">
        <v>31</v>
      </c>
      <c r="E43" s="86">
        <v>1</v>
      </c>
      <c r="F43" s="87">
        <v>12500000</v>
      </c>
      <c r="G43" s="87"/>
      <c r="H43" s="88" t="e">
        <f t="shared" si="16"/>
        <v>#DIV/0!</v>
      </c>
      <c r="I43" s="87"/>
      <c r="J43" s="87"/>
      <c r="K43" s="88" t="e">
        <f>SUM(J43/J58*100)</f>
        <v>#DIV/0!</v>
      </c>
      <c r="L43" s="87">
        <f>SUM(J43-G43)</f>
        <v>0</v>
      </c>
      <c r="M43" s="89"/>
      <c r="N43" s="89"/>
      <c r="O43" s="89">
        <f>SUM(M43:N43)</f>
        <v>0</v>
      </c>
      <c r="P43" s="93" t="e">
        <f>J43/(G43+I43)*100</f>
        <v>#DIV/0!</v>
      </c>
      <c r="X43" s="7"/>
      <c r="Y43" s="7"/>
      <c r="Z43" s="7"/>
      <c r="AA43" s="7"/>
    </row>
    <row r="44" spans="2:27" ht="17.25" thickBot="1">
      <c r="B44" s="92"/>
      <c r="C44" s="411" t="s">
        <v>171</v>
      </c>
      <c r="D44" s="85" t="s">
        <v>27</v>
      </c>
      <c r="E44" s="86">
        <v>1</v>
      </c>
      <c r="F44" s="87">
        <v>12500000</v>
      </c>
      <c r="G44" s="87"/>
      <c r="H44" s="88" t="e">
        <f t="shared" si="16"/>
        <v>#DIV/0!</v>
      </c>
      <c r="I44" s="87"/>
      <c r="J44" s="87"/>
      <c r="K44" s="88" t="e">
        <f>SUM(J44/J57*100)</f>
        <v>#DIV/0!</v>
      </c>
      <c r="L44" s="87">
        <f>SUM(J44-G44)</f>
        <v>0</v>
      </c>
      <c r="M44" s="89"/>
      <c r="N44" s="89"/>
      <c r="O44" s="89">
        <f>SUM(M44:N44)</f>
        <v>0</v>
      </c>
      <c r="P44" s="93" t="e">
        <f>J44/(G44+I44)*100</f>
        <v>#DIV/0!</v>
      </c>
      <c r="X44" s="7"/>
      <c r="Y44" s="7"/>
      <c r="AA44" s="7"/>
    </row>
    <row r="45" spans="2:27">
      <c r="D45" s="73"/>
      <c r="E45" s="94">
        <f>SUM(E41:E44)</f>
        <v>4</v>
      </c>
      <c r="F45" s="73">
        <f>SUM(F41:F44)</f>
        <v>50000000</v>
      </c>
      <c r="G45" s="73">
        <f>SUM(G41:G44)</f>
        <v>11236500</v>
      </c>
      <c r="I45" s="73">
        <f>SUM(I41:I44)</f>
        <v>346302</v>
      </c>
      <c r="J45" s="73">
        <f>SUM(J41:J44)</f>
        <v>11838000</v>
      </c>
      <c r="L45" s="73">
        <f>SUM(L41:L44)</f>
        <v>601500</v>
      </c>
      <c r="M45" s="94">
        <f>SUM(M41:M44)</f>
        <v>581</v>
      </c>
      <c r="N45" s="94">
        <f>SUM(N41:N44)</f>
        <v>42</v>
      </c>
      <c r="O45" s="94">
        <f>SUM(O41:O44)</f>
        <v>623</v>
      </c>
    </row>
    <row r="46" spans="2:27">
      <c r="M46" s="2"/>
      <c r="N46" s="2"/>
      <c r="O46" s="2"/>
      <c r="P46" s="2"/>
    </row>
    <row r="47" spans="2:27">
      <c r="M47" s="2"/>
      <c r="N47" s="2"/>
      <c r="O47" s="2"/>
      <c r="P47" s="2"/>
    </row>
  </sheetData>
  <mergeCells count="40">
    <mergeCell ref="C2:P2"/>
    <mergeCell ref="D4:D5"/>
    <mergeCell ref="E4:E5"/>
    <mergeCell ref="F4:F5"/>
    <mergeCell ref="G4:H4"/>
    <mergeCell ref="I4:I5"/>
    <mergeCell ref="J4:K4"/>
    <mergeCell ref="L4:L5"/>
    <mergeCell ref="M4:O4"/>
    <mergeCell ref="B27:D27"/>
    <mergeCell ref="P4:P5"/>
    <mergeCell ref="Q4:Q5"/>
    <mergeCell ref="B6:B18"/>
    <mergeCell ref="Q6:Q18"/>
    <mergeCell ref="B20:B26"/>
    <mergeCell ref="Q20:Q26"/>
    <mergeCell ref="B4:C5"/>
    <mergeCell ref="M32:O32"/>
    <mergeCell ref="P32:P33"/>
    <mergeCell ref="B32:C33"/>
    <mergeCell ref="D32:D33"/>
    <mergeCell ref="E32:E33"/>
    <mergeCell ref="F32:F33"/>
    <mergeCell ref="G32:H32"/>
    <mergeCell ref="Q32:Q33"/>
    <mergeCell ref="B39:C40"/>
    <mergeCell ref="D39:D40"/>
    <mergeCell ref="E39:E40"/>
    <mergeCell ref="F39:F40"/>
    <mergeCell ref="G39:H39"/>
    <mergeCell ref="I39:I40"/>
    <mergeCell ref="J39:K39"/>
    <mergeCell ref="L39:L40"/>
    <mergeCell ref="M39:O39"/>
    <mergeCell ref="P39:P40"/>
    <mergeCell ref="Q39:Q40"/>
    <mergeCell ref="Q34:Q36"/>
    <mergeCell ref="I32:I33"/>
    <mergeCell ref="J32:K32"/>
    <mergeCell ref="L32:L33"/>
  </mergeCells>
  <phoneticPr fontId="2" type="noConversion"/>
  <pageMargins left="0.7" right="0.7" top="0.75" bottom="0.75" header="0.3" footer="0.3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8"/>
  <sheetViews>
    <sheetView workbookViewId="0">
      <selection activeCell="B1" sqref="B1:M1"/>
    </sheetView>
  </sheetViews>
  <sheetFormatPr defaultColWidth="9" defaultRowHeight="16.5"/>
  <cols>
    <col min="1" max="1" width="4.125" customWidth="1"/>
    <col min="2" max="2" width="26.875" style="1" bestFit="1" customWidth="1"/>
    <col min="3" max="4" width="12.875" style="2" bestFit="1" customWidth="1"/>
    <col min="5" max="5" width="12.125" style="2" bestFit="1" customWidth="1"/>
    <col min="6" max="6" width="10.625" style="2" bestFit="1" customWidth="1"/>
    <col min="7" max="7" width="12.875" style="2" bestFit="1" customWidth="1"/>
    <col min="8" max="8" width="12.75" style="2" customWidth="1"/>
    <col min="9" max="9" width="12.875" style="2" bestFit="1" customWidth="1"/>
    <col min="10" max="12" width="9.25" bestFit="1" customWidth="1"/>
    <col min="13" max="13" width="7.625" customWidth="1"/>
    <col min="14" max="14" width="9" bestFit="1" customWidth="1"/>
  </cols>
  <sheetData>
    <row r="1" spans="2:14" ht="35.1" customHeight="1">
      <c r="B1" s="476" t="s">
        <v>41</v>
      </c>
      <c r="C1" s="476"/>
      <c r="D1" s="476"/>
      <c r="E1" s="476"/>
      <c r="F1" s="476"/>
      <c r="G1" s="477"/>
      <c r="H1" s="477"/>
      <c r="I1" s="477"/>
      <c r="J1" s="477"/>
      <c r="K1" s="477"/>
      <c r="L1" s="477"/>
      <c r="M1" s="477"/>
    </row>
    <row r="2" spans="2:14" ht="18" thickBot="1">
      <c r="B2" s="286" t="s">
        <v>42</v>
      </c>
      <c r="C2"/>
      <c r="D2"/>
      <c r="E2"/>
      <c r="F2"/>
      <c r="G2"/>
      <c r="H2"/>
      <c r="I2"/>
      <c r="M2" s="285" t="s">
        <v>0</v>
      </c>
    </row>
    <row r="3" spans="2:14" ht="17.45" customHeight="1">
      <c r="B3" s="474" t="s">
        <v>1</v>
      </c>
      <c r="C3" s="474" t="s">
        <v>4</v>
      </c>
      <c r="D3" s="478" t="s">
        <v>5</v>
      </c>
      <c r="E3" s="479"/>
      <c r="F3" s="480" t="s">
        <v>6</v>
      </c>
      <c r="G3" s="478" t="s">
        <v>7</v>
      </c>
      <c r="H3" s="482"/>
      <c r="I3" s="483" t="s">
        <v>8</v>
      </c>
      <c r="J3" s="485" t="s">
        <v>43</v>
      </c>
      <c r="K3" s="487" t="s">
        <v>44</v>
      </c>
      <c r="L3" s="480" t="s">
        <v>45</v>
      </c>
      <c r="M3" s="474" t="s">
        <v>10</v>
      </c>
      <c r="N3" s="9"/>
    </row>
    <row r="4" spans="2:14" ht="17.45" customHeight="1" thickBot="1">
      <c r="B4" s="475"/>
      <c r="C4" s="475"/>
      <c r="D4" s="338" t="s">
        <v>11</v>
      </c>
      <c r="E4" s="310" t="s">
        <v>12</v>
      </c>
      <c r="F4" s="481"/>
      <c r="G4" s="348" t="s">
        <v>13</v>
      </c>
      <c r="H4" s="349" t="s">
        <v>12</v>
      </c>
      <c r="I4" s="484"/>
      <c r="J4" s="486"/>
      <c r="K4" s="488"/>
      <c r="L4" s="481"/>
      <c r="M4" s="475"/>
      <c r="N4" s="9"/>
    </row>
    <row r="5" spans="2:14" ht="21" customHeight="1">
      <c r="B5" s="317" t="s">
        <v>46</v>
      </c>
      <c r="C5" s="336">
        <v>80000000</v>
      </c>
      <c r="D5" s="339">
        <v>73299453</v>
      </c>
      <c r="E5" s="311">
        <f>SUM(D5/D14)</f>
        <v>0.23152978225822871</v>
      </c>
      <c r="F5" s="340">
        <v>1087878</v>
      </c>
      <c r="G5" s="350">
        <v>32936000</v>
      </c>
      <c r="H5" s="351">
        <f>SUM(G5/G14)</f>
        <v>0.48662145590473238</v>
      </c>
      <c r="I5" s="345">
        <f t="shared" ref="I5:I13" si="0">SUM(G5-D5)</f>
        <v>-40363453</v>
      </c>
      <c r="J5" s="327">
        <v>5271</v>
      </c>
      <c r="K5" s="312">
        <v>589</v>
      </c>
      <c r="L5" s="328">
        <f>SUM(J5:K5)</f>
        <v>5860</v>
      </c>
      <c r="M5" s="322">
        <f>G5/(D5+F5)</f>
        <v>0.44276356682295809</v>
      </c>
      <c r="N5" s="8"/>
    </row>
    <row r="6" spans="2:14" ht="21" customHeight="1">
      <c r="B6" s="318" t="s">
        <v>47</v>
      </c>
      <c r="C6" s="287">
        <v>14300000</v>
      </c>
      <c r="D6" s="288">
        <v>13643591</v>
      </c>
      <c r="E6" s="306">
        <f>SUM(D6/D14)</f>
        <v>4.3095787542238945E-2</v>
      </c>
      <c r="F6" s="341">
        <v>80718</v>
      </c>
      <c r="G6" s="288">
        <v>2446000</v>
      </c>
      <c r="H6" s="289">
        <f>SUM(G6/G14)</f>
        <v>3.6139060029845016E-2</v>
      </c>
      <c r="I6" s="346">
        <f t="shared" si="0"/>
        <v>-11197591</v>
      </c>
      <c r="J6" s="329">
        <v>1063</v>
      </c>
      <c r="K6" s="308">
        <v>96</v>
      </c>
      <c r="L6" s="330">
        <f t="shared" ref="L6:L11" si="1">SUM(J6:K6)</f>
        <v>1159</v>
      </c>
      <c r="M6" s="323">
        <f t="shared" ref="M6:M14" si="2">G6/(D6+F6)</f>
        <v>0.17822390912358502</v>
      </c>
      <c r="N6" s="8"/>
    </row>
    <row r="7" spans="2:14" ht="21" customHeight="1">
      <c r="B7" s="318" t="s">
        <v>48</v>
      </c>
      <c r="C7" s="287">
        <v>46000000</v>
      </c>
      <c r="D7" s="288">
        <v>45321178</v>
      </c>
      <c r="E7" s="307">
        <f>SUM(D7/D14)</f>
        <v>0.1431552630280396</v>
      </c>
      <c r="F7" s="341">
        <v>315810</v>
      </c>
      <c r="G7" s="288">
        <v>9570000</v>
      </c>
      <c r="H7" s="289">
        <f>SUM(G7/G14)</f>
        <v>0.14139444173573867</v>
      </c>
      <c r="I7" s="346">
        <f t="shared" si="0"/>
        <v>-35751178</v>
      </c>
      <c r="J7" s="329">
        <v>3190</v>
      </c>
      <c r="K7" s="308">
        <v>111</v>
      </c>
      <c r="L7" s="331">
        <f t="shared" si="1"/>
        <v>3301</v>
      </c>
      <c r="M7" s="324">
        <f t="shared" si="2"/>
        <v>0.20969832627867555</v>
      </c>
      <c r="N7" s="8"/>
    </row>
    <row r="8" spans="2:14" ht="21" customHeight="1">
      <c r="B8" s="318" t="s">
        <v>49</v>
      </c>
      <c r="C8" s="287">
        <v>8600000</v>
      </c>
      <c r="D8" s="288">
        <v>8577400</v>
      </c>
      <c r="E8" s="307">
        <f>SUM(D8/D14)</f>
        <v>2.7093292965525009E-2</v>
      </c>
      <c r="F8" s="341"/>
      <c r="G8" s="290">
        <v>0</v>
      </c>
      <c r="H8" s="289">
        <f>SUM(G8/G14*100)</f>
        <v>0</v>
      </c>
      <c r="I8" s="346">
        <f t="shared" si="0"/>
        <v>-8577400</v>
      </c>
      <c r="J8" s="329">
        <v>0</v>
      </c>
      <c r="K8" s="308">
        <v>27358</v>
      </c>
      <c r="L8" s="331">
        <f t="shared" si="1"/>
        <v>27358</v>
      </c>
      <c r="M8" s="323">
        <f t="shared" si="2"/>
        <v>0</v>
      </c>
      <c r="N8" s="8"/>
    </row>
    <row r="9" spans="2:14" ht="21" customHeight="1">
      <c r="B9" s="319" t="s">
        <v>50</v>
      </c>
      <c r="C9" s="287">
        <v>107000000</v>
      </c>
      <c r="D9" s="288">
        <v>104915924</v>
      </c>
      <c r="E9" s="307">
        <f>SUM(D9/D14)</f>
        <v>0.33139621163531563</v>
      </c>
      <c r="F9" s="341">
        <v>545160</v>
      </c>
      <c r="G9" s="288">
        <v>16692000</v>
      </c>
      <c r="H9" s="289">
        <f>SUM(G9/G14)</f>
        <v>0.24662027392402819</v>
      </c>
      <c r="I9" s="346">
        <f t="shared" si="0"/>
        <v>-88223924</v>
      </c>
      <c r="J9" s="329">
        <v>3295</v>
      </c>
      <c r="K9" s="308">
        <v>202</v>
      </c>
      <c r="L9" s="330">
        <f t="shared" si="1"/>
        <v>3497</v>
      </c>
      <c r="M9" s="323">
        <f t="shared" si="2"/>
        <v>0.15827639321439177</v>
      </c>
      <c r="N9" s="8"/>
    </row>
    <row r="10" spans="2:14" ht="21" customHeight="1">
      <c r="B10" s="318" t="s">
        <v>51</v>
      </c>
      <c r="C10" s="287">
        <v>12000000</v>
      </c>
      <c r="D10" s="288">
        <v>11001442</v>
      </c>
      <c r="E10" s="309">
        <f>D10/D14</f>
        <v>3.4750074748668758E-2</v>
      </c>
      <c r="F10" s="341">
        <v>18282</v>
      </c>
      <c r="G10" s="352">
        <v>554000</v>
      </c>
      <c r="H10" s="289">
        <f>SUM(G10/G14)</f>
        <v>8.1852163763426571E-3</v>
      </c>
      <c r="I10" s="346">
        <f t="shared" si="0"/>
        <v>-10447442</v>
      </c>
      <c r="J10" s="329">
        <v>277</v>
      </c>
      <c r="K10" s="308">
        <v>83</v>
      </c>
      <c r="L10" s="330">
        <f t="shared" si="1"/>
        <v>360</v>
      </c>
      <c r="M10" s="323">
        <f t="shared" si="2"/>
        <v>5.0273491423197168E-2</v>
      </c>
      <c r="N10" s="8"/>
    </row>
    <row r="11" spans="2:14" ht="21" customHeight="1">
      <c r="B11" s="319" t="s">
        <v>52</v>
      </c>
      <c r="C11" s="287">
        <v>24000000</v>
      </c>
      <c r="D11" s="288">
        <v>23508800</v>
      </c>
      <c r="E11" s="307">
        <f>SUM(D11/D14)</f>
        <v>7.4256861714264738E-2</v>
      </c>
      <c r="F11" s="341">
        <v>0</v>
      </c>
      <c r="G11" s="288">
        <v>0</v>
      </c>
      <c r="H11" s="289">
        <f>SUM(G11/G14*100)</f>
        <v>0</v>
      </c>
      <c r="I11" s="346">
        <f t="shared" si="0"/>
        <v>-23508800</v>
      </c>
      <c r="J11" s="329">
        <v>0</v>
      </c>
      <c r="K11" s="308">
        <v>1916</v>
      </c>
      <c r="L11" s="330">
        <f t="shared" si="1"/>
        <v>1916</v>
      </c>
      <c r="M11" s="323">
        <f t="shared" si="2"/>
        <v>0</v>
      </c>
      <c r="N11" s="8"/>
    </row>
    <row r="12" spans="2:14" ht="21" customHeight="1">
      <c r="B12" s="319" t="s">
        <v>53</v>
      </c>
      <c r="C12" s="287">
        <v>40750000</v>
      </c>
      <c r="D12" s="288">
        <v>19468310</v>
      </c>
      <c r="E12" s="307">
        <f>SUM(D12/D14)</f>
        <v>6.1494232095234011E-2</v>
      </c>
      <c r="F12" s="341"/>
      <c r="G12" s="288">
        <v>2272000</v>
      </c>
      <c r="H12" s="289">
        <f>SUM(G12/G14)</f>
        <v>3.3568251998286128E-2</v>
      </c>
      <c r="I12" s="346">
        <f>SUM(G12-D12)</f>
        <v>-17196310</v>
      </c>
      <c r="J12" s="329">
        <v>1136</v>
      </c>
      <c r="K12" s="308">
        <v>218</v>
      </c>
      <c r="L12" s="330">
        <f>SUM(J12:K12)</f>
        <v>1354</v>
      </c>
      <c r="M12" s="323">
        <f t="shared" si="2"/>
        <v>0.11670247699980121</v>
      </c>
      <c r="N12" s="8"/>
    </row>
    <row r="13" spans="2:14" ht="21" customHeight="1" thickBot="1">
      <c r="B13" s="320" t="s">
        <v>54</v>
      </c>
      <c r="C13" s="337">
        <v>25030000</v>
      </c>
      <c r="D13" s="342">
        <v>16851480</v>
      </c>
      <c r="E13" s="313">
        <f>SUM(D13/D14)</f>
        <v>5.3228494012484598E-2</v>
      </c>
      <c r="F13" s="343"/>
      <c r="G13" s="342">
        <v>3213000</v>
      </c>
      <c r="H13" s="353">
        <f>SUM(G13/G14)</f>
        <v>4.7471300031026994E-2</v>
      </c>
      <c r="I13" s="347">
        <f t="shared" si="0"/>
        <v>-13638480</v>
      </c>
      <c r="J13" s="332">
        <v>1071</v>
      </c>
      <c r="K13" s="314">
        <v>159</v>
      </c>
      <c r="L13" s="333">
        <f t="shared" ref="L13" si="3">SUM(J13:K13)</f>
        <v>1230</v>
      </c>
      <c r="M13" s="325">
        <f t="shared" si="2"/>
        <v>0.19066574567931124</v>
      </c>
      <c r="N13" s="8"/>
    </row>
    <row r="14" spans="2:14" ht="21" customHeight="1" thickBot="1">
      <c r="B14" s="321" t="s">
        <v>16</v>
      </c>
      <c r="C14" s="303">
        <f t="shared" ref="C14:L14" si="4">SUM(C5:C13)</f>
        <v>357680000</v>
      </c>
      <c r="D14" s="304">
        <f t="shared" si="4"/>
        <v>316587578</v>
      </c>
      <c r="E14" s="315">
        <f>SUM(E5:E13)</f>
        <v>0.99999999999999989</v>
      </c>
      <c r="F14" s="344">
        <f t="shared" si="4"/>
        <v>2047848</v>
      </c>
      <c r="G14" s="304">
        <f t="shared" si="4"/>
        <v>67683000</v>
      </c>
      <c r="H14" s="354">
        <f t="shared" si="4"/>
        <v>1</v>
      </c>
      <c r="I14" s="305">
        <f t="shared" si="4"/>
        <v>-248904578</v>
      </c>
      <c r="J14" s="334">
        <f t="shared" si="4"/>
        <v>15303</v>
      </c>
      <c r="K14" s="316">
        <f t="shared" si="4"/>
        <v>30732</v>
      </c>
      <c r="L14" s="335">
        <f t="shared" si="4"/>
        <v>46035</v>
      </c>
      <c r="M14" s="326">
        <f t="shared" si="2"/>
        <v>0.21241517570616897</v>
      </c>
      <c r="N14" s="7"/>
    </row>
    <row r="16" spans="2:14" ht="18" thickBot="1">
      <c r="B16" s="286" t="s">
        <v>55</v>
      </c>
    </row>
    <row r="17" spans="2:13">
      <c r="B17" s="468" t="s">
        <v>1</v>
      </c>
      <c r="C17" s="464" t="s">
        <v>4</v>
      </c>
      <c r="D17" s="470" t="s">
        <v>5</v>
      </c>
      <c r="E17" s="471"/>
      <c r="F17" s="472" t="s">
        <v>56</v>
      </c>
      <c r="G17" s="470" t="s">
        <v>7</v>
      </c>
      <c r="H17" s="471"/>
      <c r="I17" s="458" t="s">
        <v>8</v>
      </c>
      <c r="J17" s="460" t="s">
        <v>57</v>
      </c>
      <c r="K17" s="462" t="s">
        <v>58</v>
      </c>
      <c r="L17" s="464" t="s">
        <v>16</v>
      </c>
      <c r="M17" s="466" t="s">
        <v>10</v>
      </c>
    </row>
    <row r="18" spans="2:13" ht="17.25" thickBot="1">
      <c r="B18" s="469"/>
      <c r="C18" s="465"/>
      <c r="D18" s="15" t="s">
        <v>11</v>
      </c>
      <c r="E18" s="10" t="s">
        <v>59</v>
      </c>
      <c r="F18" s="473"/>
      <c r="G18" s="11" t="s">
        <v>60</v>
      </c>
      <c r="H18" s="12" t="s">
        <v>59</v>
      </c>
      <c r="I18" s="459"/>
      <c r="J18" s="461"/>
      <c r="K18" s="463"/>
      <c r="L18" s="465"/>
      <c r="M18" s="467"/>
    </row>
    <row r="19" spans="2:13" ht="17.25" thickTop="1">
      <c r="B19" s="24" t="s">
        <v>46</v>
      </c>
      <c r="C19" s="111">
        <v>80000000</v>
      </c>
      <c r="D19" s="125">
        <v>73299453</v>
      </c>
      <c r="E19" s="135">
        <v>23.152978225822871</v>
      </c>
      <c r="F19" s="112">
        <v>1087878</v>
      </c>
      <c r="G19" s="134">
        <v>32936000</v>
      </c>
      <c r="H19" s="135">
        <v>48.662145590473237</v>
      </c>
      <c r="I19" s="111">
        <v>-40363453</v>
      </c>
      <c r="J19" s="126">
        <v>5271</v>
      </c>
      <c r="K19" s="113">
        <v>589</v>
      </c>
      <c r="L19" s="136">
        <v>5860</v>
      </c>
      <c r="M19" s="140">
        <v>44.933486747847901</v>
      </c>
    </row>
    <row r="20" spans="2:13">
      <c r="B20" s="26" t="s">
        <v>47</v>
      </c>
      <c r="C20" s="118">
        <v>14300000</v>
      </c>
      <c r="D20" s="127">
        <v>13643591</v>
      </c>
      <c r="E20" s="119">
        <v>4.3095787542238941</v>
      </c>
      <c r="F20" s="118">
        <v>80718</v>
      </c>
      <c r="G20" s="127">
        <v>2446000</v>
      </c>
      <c r="H20" s="119">
        <v>3.6139060029845016</v>
      </c>
      <c r="I20" s="114">
        <v>-11197591</v>
      </c>
      <c r="J20" s="128">
        <v>1063</v>
      </c>
      <c r="K20" s="120">
        <v>96</v>
      </c>
      <c r="L20" s="118">
        <v>1159</v>
      </c>
      <c r="M20" s="141">
        <v>17.927831463138993</v>
      </c>
    </row>
    <row r="21" spans="2:13">
      <c r="B21" s="26" t="s">
        <v>48</v>
      </c>
      <c r="C21" s="121">
        <v>46000000</v>
      </c>
      <c r="D21" s="129">
        <v>45321178</v>
      </c>
      <c r="E21" s="122">
        <v>14.31552630280396</v>
      </c>
      <c r="F21" s="121">
        <v>315810</v>
      </c>
      <c r="G21" s="129">
        <v>9570000</v>
      </c>
      <c r="H21" s="122">
        <v>14.139444173573867</v>
      </c>
      <c r="I21" s="121">
        <v>-35751178</v>
      </c>
      <c r="J21" s="130">
        <v>3190</v>
      </c>
      <c r="K21" s="123">
        <v>111</v>
      </c>
      <c r="L21" s="139">
        <v>3301</v>
      </c>
      <c r="M21" s="142">
        <v>21.115955988610889</v>
      </c>
    </row>
    <row r="22" spans="2:13">
      <c r="B22" s="26" t="s">
        <v>49</v>
      </c>
      <c r="C22" s="114">
        <v>8600000</v>
      </c>
      <c r="D22" s="131">
        <v>8577400</v>
      </c>
      <c r="E22" s="138">
        <v>2.7093292965525007</v>
      </c>
      <c r="F22" s="114"/>
      <c r="G22" s="116">
        <v>0</v>
      </c>
      <c r="H22" s="115">
        <v>0</v>
      </c>
      <c r="I22" s="114">
        <v>-8577400</v>
      </c>
      <c r="J22" s="132">
        <v>0</v>
      </c>
      <c r="K22" s="117">
        <v>27358</v>
      </c>
      <c r="L22" s="137">
        <v>27358</v>
      </c>
      <c r="M22" s="178">
        <v>0</v>
      </c>
    </row>
    <row r="23" spans="2:13">
      <c r="B23" s="25" t="s">
        <v>50</v>
      </c>
      <c r="C23" s="121">
        <v>107000000</v>
      </c>
      <c r="D23" s="129">
        <v>104915924</v>
      </c>
      <c r="E23" s="122">
        <v>33.139621163531565</v>
      </c>
      <c r="F23" s="121">
        <v>545160</v>
      </c>
      <c r="G23" s="129">
        <v>16692000</v>
      </c>
      <c r="H23" s="122">
        <v>24.66202739240282</v>
      </c>
      <c r="I23" s="121">
        <v>-88223924</v>
      </c>
      <c r="J23" s="130">
        <v>3295</v>
      </c>
      <c r="K23" s="123">
        <v>202</v>
      </c>
      <c r="L23" s="121">
        <v>3497</v>
      </c>
      <c r="M23" s="143">
        <v>15.909882278690123</v>
      </c>
    </row>
    <row r="24" spans="2:13">
      <c r="B24" s="26" t="s">
        <v>51</v>
      </c>
      <c r="C24" s="114">
        <v>12000000</v>
      </c>
      <c r="D24" s="131">
        <v>11001442</v>
      </c>
      <c r="E24" s="138">
        <v>7.24</v>
      </c>
      <c r="F24" s="114">
        <v>18282</v>
      </c>
      <c r="G24" s="133">
        <v>554000</v>
      </c>
      <c r="H24" s="124">
        <v>0.81852163763426566</v>
      </c>
      <c r="I24" s="114">
        <v>-10447442</v>
      </c>
      <c r="J24" s="132">
        <v>277</v>
      </c>
      <c r="K24" s="117">
        <v>83</v>
      </c>
      <c r="L24" s="114">
        <v>360</v>
      </c>
      <c r="M24" s="144">
        <v>5.0357035014137237</v>
      </c>
    </row>
    <row r="25" spans="2:13">
      <c r="B25" s="25" t="s">
        <v>52</v>
      </c>
      <c r="C25" s="121">
        <v>24000000</v>
      </c>
      <c r="D25" s="129">
        <v>23508800</v>
      </c>
      <c r="E25" s="179">
        <v>7.4256861714264737</v>
      </c>
      <c r="F25" s="121">
        <v>0</v>
      </c>
      <c r="G25" s="129">
        <v>0</v>
      </c>
      <c r="H25" s="122">
        <v>0</v>
      </c>
      <c r="I25" s="121">
        <v>-23508800</v>
      </c>
      <c r="J25" s="130">
        <v>0</v>
      </c>
      <c r="K25" s="123">
        <v>1916</v>
      </c>
      <c r="L25" s="121">
        <v>1916</v>
      </c>
      <c r="M25" s="141">
        <v>0</v>
      </c>
    </row>
    <row r="26" spans="2:13">
      <c r="B26" s="25" t="s">
        <v>53</v>
      </c>
      <c r="C26" s="114">
        <v>40750000</v>
      </c>
      <c r="D26" s="131">
        <v>19468310</v>
      </c>
      <c r="E26" s="179">
        <v>6.1494232095234009</v>
      </c>
      <c r="F26" s="114"/>
      <c r="G26" s="131">
        <v>2272000</v>
      </c>
      <c r="H26" s="122">
        <v>3.3568251998286129</v>
      </c>
      <c r="I26" s="121">
        <v>-17196310</v>
      </c>
      <c r="J26" s="132">
        <v>1136</v>
      </c>
      <c r="K26" s="117">
        <v>218</v>
      </c>
      <c r="L26" s="121">
        <v>1354</v>
      </c>
      <c r="M26" s="141">
        <v>11.670247699980122</v>
      </c>
    </row>
    <row r="27" spans="2:13" ht="17.25" thickBot="1">
      <c r="B27" s="26" t="s">
        <v>54</v>
      </c>
      <c r="C27" s="121">
        <v>25030000</v>
      </c>
      <c r="D27" s="129">
        <v>16851480</v>
      </c>
      <c r="E27" s="179">
        <v>5.32284940124846</v>
      </c>
      <c r="F27" s="121"/>
      <c r="G27" s="129">
        <v>3213000</v>
      </c>
      <c r="H27" s="122">
        <v>4.7471300031026997</v>
      </c>
      <c r="I27" s="121">
        <v>-13638480</v>
      </c>
      <c r="J27" s="130">
        <v>1071</v>
      </c>
      <c r="K27" s="123">
        <v>159</v>
      </c>
      <c r="L27" s="121">
        <v>1230</v>
      </c>
      <c r="M27" s="143">
        <v>19.066574567931124</v>
      </c>
    </row>
    <row r="28" spans="2:13" ht="17.25" thickBot="1">
      <c r="B28" s="27" t="s">
        <v>16</v>
      </c>
      <c r="C28" s="20">
        <v>357680000</v>
      </c>
      <c r="D28" s="17">
        <v>316587578</v>
      </c>
      <c r="E28" s="18">
        <v>103.76499252513314</v>
      </c>
      <c r="F28" s="19">
        <v>2047848</v>
      </c>
      <c r="G28" s="17">
        <v>67683000</v>
      </c>
      <c r="H28" s="16">
        <v>99.999999999999986</v>
      </c>
      <c r="I28" s="20">
        <v>-248904578</v>
      </c>
      <c r="J28" s="21">
        <v>15303</v>
      </c>
      <c r="K28" s="22">
        <v>30732</v>
      </c>
      <c r="L28" s="23">
        <v>46035</v>
      </c>
      <c r="M28" s="145">
        <v>36.799999999999997</v>
      </c>
    </row>
  </sheetData>
  <mergeCells count="21">
    <mergeCell ref="M3:M4"/>
    <mergeCell ref="B1:M1"/>
    <mergeCell ref="B3:B4"/>
    <mergeCell ref="C3:C4"/>
    <mergeCell ref="D3:E3"/>
    <mergeCell ref="F3:F4"/>
    <mergeCell ref="G3:H3"/>
    <mergeCell ref="I3:I4"/>
    <mergeCell ref="J3:J4"/>
    <mergeCell ref="K3:K4"/>
    <mergeCell ref="L3:L4"/>
    <mergeCell ref="B17:B18"/>
    <mergeCell ref="C17:C18"/>
    <mergeCell ref="D17:E17"/>
    <mergeCell ref="F17:F18"/>
    <mergeCell ref="G17:H17"/>
    <mergeCell ref="I17:I18"/>
    <mergeCell ref="J17:J18"/>
    <mergeCell ref="K17:K18"/>
    <mergeCell ref="L17:L18"/>
    <mergeCell ref="M17:M1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38"/>
  <sheetViews>
    <sheetView zoomScaleNormal="100" workbookViewId="0">
      <selection activeCell="B10" sqref="B10"/>
    </sheetView>
  </sheetViews>
  <sheetFormatPr defaultRowHeight="16.5"/>
  <cols>
    <col min="1" max="1" width="3" customWidth="1"/>
    <col min="2" max="2" width="20.625" customWidth="1"/>
    <col min="3" max="3" width="16.125" customWidth="1"/>
    <col min="4" max="4" width="13" customWidth="1"/>
    <col min="5" max="5" width="11" customWidth="1"/>
    <col min="6" max="6" width="15" customWidth="1"/>
    <col min="7" max="7" width="11.625" bestFit="1" customWidth="1"/>
    <col min="8" max="8" width="12.75" customWidth="1"/>
    <col min="9" max="9" width="11.625" bestFit="1" customWidth="1"/>
    <col min="10" max="11" width="9.875" customWidth="1"/>
    <col min="12" max="12" width="10.5" hidden="1" customWidth="1"/>
  </cols>
  <sheetData>
    <row r="1" spans="2:12" ht="32.25" customHeight="1">
      <c r="B1" s="492" t="s">
        <v>61</v>
      </c>
      <c r="C1" s="492"/>
      <c r="D1" s="492"/>
      <c r="E1" s="492"/>
      <c r="F1" s="492"/>
      <c r="G1" s="492"/>
      <c r="H1" s="492"/>
      <c r="I1" s="492"/>
      <c r="J1" s="492"/>
      <c r="K1" s="240"/>
    </row>
    <row r="2" spans="2:12" s="77" customFormat="1" ht="18" customHeight="1" thickBot="1">
      <c r="B2" s="76"/>
      <c r="C2" s="76"/>
      <c r="D2" s="76"/>
      <c r="E2" s="76"/>
      <c r="F2" s="76"/>
      <c r="G2" s="76"/>
      <c r="H2" s="76"/>
      <c r="I2" s="78"/>
      <c r="J2" s="79" t="s">
        <v>62</v>
      </c>
      <c r="K2" s="241"/>
    </row>
    <row r="3" spans="2:12">
      <c r="B3" s="493" t="s">
        <v>1</v>
      </c>
      <c r="C3" s="493" t="s">
        <v>63</v>
      </c>
      <c r="D3" s="495" t="s">
        <v>64</v>
      </c>
      <c r="E3" s="496"/>
      <c r="F3" s="495" t="s">
        <v>65</v>
      </c>
      <c r="G3" s="497"/>
      <c r="H3" s="367" t="s">
        <v>66</v>
      </c>
      <c r="I3" s="493" t="s">
        <v>67</v>
      </c>
      <c r="J3" s="493" t="s">
        <v>68</v>
      </c>
      <c r="K3" s="242"/>
    </row>
    <row r="4" spans="2:12" ht="17.25" thickBot="1">
      <c r="B4" s="494"/>
      <c r="C4" s="494"/>
      <c r="D4" s="368" t="s">
        <v>69</v>
      </c>
      <c r="E4" s="369" t="s">
        <v>12</v>
      </c>
      <c r="F4" s="370" t="s">
        <v>70</v>
      </c>
      <c r="G4" s="371" t="s">
        <v>12</v>
      </c>
      <c r="H4" s="371" t="s">
        <v>71</v>
      </c>
      <c r="I4" s="494"/>
      <c r="J4" s="494"/>
      <c r="K4" s="242"/>
    </row>
    <row r="5" spans="2:12" ht="21" customHeight="1">
      <c r="B5" s="381" t="s">
        <v>72</v>
      </c>
      <c r="C5" s="291">
        <v>15700</v>
      </c>
      <c r="D5" s="259">
        <v>15700</v>
      </c>
      <c r="E5" s="260">
        <f>D5/D13*100</f>
        <v>12.39147592738753</v>
      </c>
      <c r="F5" s="261">
        <v>21316</v>
      </c>
      <c r="G5" s="262">
        <f>F5/F13*100</f>
        <v>24.093498508002533</v>
      </c>
      <c r="H5" s="263">
        <f t="shared" ref="H5:H13" si="0">D5-F5</f>
        <v>-5616</v>
      </c>
      <c r="I5" s="373">
        <v>697</v>
      </c>
      <c r="J5" s="355">
        <f>F5/D5</f>
        <v>1.3577070063694268</v>
      </c>
      <c r="K5" s="243"/>
    </row>
    <row r="6" spans="2:12" ht="21" customHeight="1">
      <c r="B6" s="382" t="s">
        <v>73</v>
      </c>
      <c r="C6" s="292">
        <v>68000</v>
      </c>
      <c r="D6" s="259">
        <v>65783</v>
      </c>
      <c r="E6" s="264">
        <f>D6/D13*100</f>
        <v>51.920284135753747</v>
      </c>
      <c r="F6" s="265">
        <v>47861</v>
      </c>
      <c r="G6" s="266">
        <f>F6/F13*100</f>
        <v>54.097341531784068</v>
      </c>
      <c r="H6" s="267">
        <f t="shared" si="0"/>
        <v>17922</v>
      </c>
      <c r="I6" s="374">
        <v>70</v>
      </c>
      <c r="J6" s="356">
        <f t="shared" ref="J6:J13" si="1">F6/D6</f>
        <v>0.72755879178511162</v>
      </c>
      <c r="K6" s="243"/>
    </row>
    <row r="7" spans="2:12" ht="21" customHeight="1">
      <c r="B7" s="382" t="s">
        <v>74</v>
      </c>
      <c r="C7" s="292">
        <v>22680</v>
      </c>
      <c r="D7" s="259">
        <v>22556</v>
      </c>
      <c r="E7" s="264">
        <f>D7/D13*100</f>
        <v>17.802683504340962</v>
      </c>
      <c r="F7" s="265">
        <v>12043</v>
      </c>
      <c r="G7" s="268">
        <f>F7/F13*100</f>
        <v>13.612216294420834</v>
      </c>
      <c r="H7" s="267">
        <f t="shared" si="0"/>
        <v>10513</v>
      </c>
      <c r="I7" s="374">
        <v>80</v>
      </c>
      <c r="J7" s="356">
        <f t="shared" si="1"/>
        <v>0.53391558787018978</v>
      </c>
      <c r="K7" s="243"/>
    </row>
    <row r="8" spans="2:12" ht="21" customHeight="1">
      <c r="B8" s="382" t="s">
        <v>75</v>
      </c>
      <c r="C8" s="292">
        <v>19620</v>
      </c>
      <c r="D8" s="259">
        <v>18721</v>
      </c>
      <c r="E8" s="264">
        <f>D8/D13*100</f>
        <v>14.775848460931334</v>
      </c>
      <c r="F8" s="269">
        <v>0</v>
      </c>
      <c r="G8" s="270" t="s">
        <v>76</v>
      </c>
      <c r="H8" s="271">
        <f t="shared" si="0"/>
        <v>18721</v>
      </c>
      <c r="I8" s="375" t="s">
        <v>76</v>
      </c>
      <c r="J8" s="357">
        <f t="shared" si="1"/>
        <v>0</v>
      </c>
      <c r="K8" s="244"/>
    </row>
    <row r="9" spans="2:12" ht="21" customHeight="1">
      <c r="B9" s="383" t="s">
        <v>77</v>
      </c>
      <c r="C9" s="360">
        <v>126000</v>
      </c>
      <c r="D9" s="361">
        <f>SUM(D5,D6,D7,D8)</f>
        <v>122760</v>
      </c>
      <c r="E9" s="362">
        <f>D9/D13*100</f>
        <v>96.890292028413569</v>
      </c>
      <c r="F9" s="363">
        <f>SUM(F5,F6,F7,F8)</f>
        <v>81220</v>
      </c>
      <c r="G9" s="364">
        <f>F9/F13*100</f>
        <v>91.80305633420744</v>
      </c>
      <c r="H9" s="365">
        <f t="shared" si="0"/>
        <v>41540</v>
      </c>
      <c r="I9" s="376">
        <f>SUM(I5,I6,I7)</f>
        <v>847</v>
      </c>
      <c r="J9" s="366">
        <f t="shared" si="1"/>
        <v>0.66161616161616166</v>
      </c>
      <c r="K9" s="243"/>
    </row>
    <row r="10" spans="2:12" ht="21" customHeight="1">
      <c r="B10" s="384" t="s">
        <v>78</v>
      </c>
      <c r="C10" s="293">
        <v>3000</v>
      </c>
      <c r="D10" s="272">
        <v>550</v>
      </c>
      <c r="E10" s="264">
        <f>D10/D13*100</f>
        <v>0.43409629044988163</v>
      </c>
      <c r="F10" s="273">
        <v>5802</v>
      </c>
      <c r="G10" s="274">
        <f>F10/F13*100</f>
        <v>6.5580070530789403</v>
      </c>
      <c r="H10" s="275">
        <f t="shared" si="0"/>
        <v>-5252</v>
      </c>
      <c r="I10" s="377">
        <v>50</v>
      </c>
      <c r="J10" s="356">
        <f t="shared" si="1"/>
        <v>10.549090909090909</v>
      </c>
      <c r="K10" s="243"/>
      <c r="L10" s="152"/>
    </row>
    <row r="11" spans="2:12" ht="21" customHeight="1">
      <c r="B11" s="385" t="s">
        <v>79</v>
      </c>
      <c r="C11" s="294">
        <v>2000</v>
      </c>
      <c r="D11" s="276">
        <v>786</v>
      </c>
      <c r="E11" s="264">
        <f>D11/D13*100</f>
        <v>0.62036306235201266</v>
      </c>
      <c r="F11" s="277">
        <v>1450</v>
      </c>
      <c r="G11" s="278">
        <f>F11/F13*100</f>
        <v>1.6389366127136269</v>
      </c>
      <c r="H11" s="279">
        <f t="shared" si="0"/>
        <v>-664</v>
      </c>
      <c r="I11" s="378">
        <v>20</v>
      </c>
      <c r="J11" s="357">
        <f t="shared" si="1"/>
        <v>1.8447837150127226</v>
      </c>
      <c r="K11" s="244"/>
      <c r="L11" s="152"/>
    </row>
    <row r="12" spans="2:12" ht="21" customHeight="1" thickBot="1">
      <c r="B12" s="386" t="s">
        <v>80</v>
      </c>
      <c r="C12" s="295">
        <v>4000</v>
      </c>
      <c r="D12" s="280">
        <v>2604</v>
      </c>
      <c r="E12" s="281">
        <f>D12/D13*100</f>
        <v>2.0552486187845305</v>
      </c>
      <c r="F12" s="282">
        <v>0</v>
      </c>
      <c r="G12" s="283" t="s">
        <v>76</v>
      </c>
      <c r="H12" s="284">
        <f t="shared" si="0"/>
        <v>2604</v>
      </c>
      <c r="I12" s="379" t="s">
        <v>81</v>
      </c>
      <c r="J12" s="358">
        <f t="shared" si="1"/>
        <v>0</v>
      </c>
      <c r="K12" s="245"/>
    </row>
    <row r="13" spans="2:12" ht="21" customHeight="1" thickBot="1">
      <c r="B13" s="296" t="s">
        <v>82</v>
      </c>
      <c r="C13" s="297">
        <v>135000</v>
      </c>
      <c r="D13" s="298">
        <f>SUM(D9,D10,D11,D12)</f>
        <v>126700</v>
      </c>
      <c r="E13" s="299">
        <v>100</v>
      </c>
      <c r="F13" s="300">
        <f>SUM(F9,F10,F11)</f>
        <v>88472</v>
      </c>
      <c r="G13" s="301">
        <v>100</v>
      </c>
      <c r="H13" s="302">
        <f t="shared" si="0"/>
        <v>38228</v>
      </c>
      <c r="I13" s="380">
        <f>SUM(I9,I10,I11)</f>
        <v>917</v>
      </c>
      <c r="J13" s="359">
        <f t="shared" si="1"/>
        <v>0.69827940015785317</v>
      </c>
      <c r="K13" s="204"/>
    </row>
    <row r="14" spans="2:12" s="205" customFormat="1">
      <c r="B14" s="514" t="s">
        <v>83</v>
      </c>
      <c r="C14" s="514"/>
      <c r="D14" s="514"/>
      <c r="E14" s="514"/>
      <c r="F14" s="514"/>
      <c r="G14" s="514"/>
      <c r="H14" s="514"/>
      <c r="I14" s="514"/>
      <c r="J14" s="514"/>
      <c r="K14" s="204"/>
    </row>
    <row r="15" spans="2:12" s="205" customFormat="1">
      <c r="B15" s="372"/>
      <c r="C15" s="372"/>
      <c r="D15" s="372"/>
      <c r="E15" s="372"/>
      <c r="F15" s="372"/>
      <c r="G15" s="372"/>
      <c r="H15" s="372"/>
      <c r="I15" s="372"/>
      <c r="J15" s="372"/>
      <c r="K15" s="204"/>
    </row>
    <row r="16" spans="2:12" s="205" customFormat="1" ht="26.25">
      <c r="B16" s="516" t="s">
        <v>84</v>
      </c>
      <c r="C16" s="516"/>
      <c r="D16" s="516"/>
      <c r="E16" s="516"/>
      <c r="F16" s="516"/>
      <c r="G16" s="516"/>
      <c r="H16" s="516"/>
      <c r="I16" s="516"/>
      <c r="J16" s="516"/>
      <c r="K16" s="246"/>
    </row>
    <row r="17" spans="2:12" ht="16.5" customHeight="1">
      <c r="B17" s="518" t="s">
        <v>85</v>
      </c>
      <c r="C17" s="518"/>
      <c r="D17" s="518"/>
      <c r="E17" s="518"/>
      <c r="F17" s="518"/>
      <c r="G17" s="518"/>
      <c r="H17" s="518"/>
      <c r="I17" s="518"/>
      <c r="J17" s="518"/>
      <c r="K17" s="518"/>
    </row>
    <row r="18" spans="2:12" s="95" customFormat="1">
      <c r="B18" s="489" t="s">
        <v>1</v>
      </c>
      <c r="C18" s="489" t="s">
        <v>86</v>
      </c>
      <c r="D18" s="505" t="s">
        <v>5</v>
      </c>
      <c r="E18" s="506"/>
      <c r="F18" s="509" t="s">
        <v>7</v>
      </c>
      <c r="G18" s="509"/>
      <c r="H18" s="509"/>
      <c r="I18" s="509"/>
      <c r="J18" s="489" t="s">
        <v>87</v>
      </c>
      <c r="K18" s="489" t="s">
        <v>68</v>
      </c>
      <c r="L18" s="517" t="s">
        <v>88</v>
      </c>
    </row>
    <row r="19" spans="2:12" s="95" customFormat="1">
      <c r="B19" s="490"/>
      <c r="C19" s="490"/>
      <c r="D19" s="225" t="s">
        <v>89</v>
      </c>
      <c r="E19" s="234" t="s">
        <v>90</v>
      </c>
      <c r="F19" s="218" t="s">
        <v>91</v>
      </c>
      <c r="G19" s="218" t="s">
        <v>92</v>
      </c>
      <c r="H19" s="218" t="s">
        <v>93</v>
      </c>
      <c r="I19" s="218" t="s">
        <v>94</v>
      </c>
      <c r="J19" s="490"/>
      <c r="K19" s="490"/>
      <c r="L19" s="501"/>
    </row>
    <row r="20" spans="2:12" s="95" customFormat="1">
      <c r="B20" s="489" t="s">
        <v>95</v>
      </c>
      <c r="C20" s="153" t="s">
        <v>96</v>
      </c>
      <c r="D20" s="502">
        <v>15700000</v>
      </c>
      <c r="E20" s="153">
        <v>3300000</v>
      </c>
      <c r="F20" s="206">
        <v>124278</v>
      </c>
      <c r="G20" s="153">
        <v>3939472</v>
      </c>
      <c r="H20" s="207">
        <f>SUM(F20,G20)</f>
        <v>4063750</v>
      </c>
      <c r="I20" s="507">
        <v>21930500</v>
      </c>
      <c r="J20" s="208">
        <v>135</v>
      </c>
      <c r="K20" s="247">
        <f>H20/E20*100</f>
        <v>123.14393939393939</v>
      </c>
      <c r="L20" s="511">
        <f>I20/D20*100</f>
        <v>139.68471337579618</v>
      </c>
    </row>
    <row r="21" spans="2:12" s="95" customFormat="1">
      <c r="B21" s="501"/>
      <c r="C21" s="154" t="s">
        <v>97</v>
      </c>
      <c r="D21" s="504"/>
      <c r="E21" s="154">
        <v>4400000</v>
      </c>
      <c r="F21" s="209">
        <v>201605</v>
      </c>
      <c r="G21" s="154">
        <v>7279645</v>
      </c>
      <c r="H21" s="210">
        <f t="shared" ref="H21:H24" si="2">SUM(F21,G21)</f>
        <v>7481250</v>
      </c>
      <c r="I21" s="510"/>
      <c r="J21" s="211">
        <v>144</v>
      </c>
      <c r="K21" s="248">
        <f>H21/E21*100</f>
        <v>170.02840909090909</v>
      </c>
      <c r="L21" s="512"/>
    </row>
    <row r="22" spans="2:12" s="95" customFormat="1">
      <c r="B22" s="501"/>
      <c r="C22" s="154" t="s">
        <v>98</v>
      </c>
      <c r="D22" s="504"/>
      <c r="E22" s="154">
        <v>5000000</v>
      </c>
      <c r="F22" s="209">
        <v>104355</v>
      </c>
      <c r="G22" s="154">
        <v>3747395</v>
      </c>
      <c r="H22" s="210">
        <f t="shared" si="2"/>
        <v>3851750</v>
      </c>
      <c r="I22" s="510"/>
      <c r="J22" s="211">
        <v>243</v>
      </c>
      <c r="K22" s="248">
        <f>H22/E22*100</f>
        <v>77.034999999999997</v>
      </c>
      <c r="L22" s="512"/>
    </row>
    <row r="23" spans="2:12" s="95" customFormat="1">
      <c r="B23" s="501"/>
      <c r="C23" s="176" t="s">
        <v>99</v>
      </c>
      <c r="D23" s="504"/>
      <c r="E23" s="154">
        <v>3000000</v>
      </c>
      <c r="F23" s="176">
        <v>148665</v>
      </c>
      <c r="G23" s="176">
        <v>5065085</v>
      </c>
      <c r="H23" s="210">
        <f t="shared" si="2"/>
        <v>5213750</v>
      </c>
      <c r="I23" s="510"/>
      <c r="J23" s="211">
        <v>175</v>
      </c>
      <c r="K23" s="248">
        <f>H23/E23*100</f>
        <v>173.79166666666669</v>
      </c>
      <c r="L23" s="512"/>
    </row>
    <row r="24" spans="2:12" s="95" customFormat="1">
      <c r="B24" s="490"/>
      <c r="C24" s="184" t="s">
        <v>100</v>
      </c>
      <c r="D24" s="503"/>
      <c r="E24" s="236" t="s">
        <v>76</v>
      </c>
      <c r="F24" s="184">
        <v>35640</v>
      </c>
      <c r="G24" s="184">
        <v>1284360</v>
      </c>
      <c r="H24" s="213">
        <f t="shared" si="2"/>
        <v>1320000</v>
      </c>
      <c r="I24" s="508"/>
      <c r="J24" s="214">
        <v>-11</v>
      </c>
      <c r="K24" s="214" t="s">
        <v>76</v>
      </c>
      <c r="L24" s="512"/>
    </row>
    <row r="25" spans="2:12" s="95" customFormat="1">
      <c r="B25" s="498" t="s">
        <v>101</v>
      </c>
      <c r="C25" s="180" t="s">
        <v>102</v>
      </c>
      <c r="D25" s="502">
        <v>68000000</v>
      </c>
      <c r="E25" s="502">
        <v>50973570</v>
      </c>
      <c r="F25" s="215">
        <v>396941</v>
      </c>
      <c r="G25" s="215">
        <v>13251559</v>
      </c>
      <c r="H25" s="207">
        <f>SUM(F25,G25)</f>
        <v>13648500</v>
      </c>
      <c r="I25" s="507">
        <v>35842500</v>
      </c>
      <c r="J25" s="208">
        <v>17</v>
      </c>
      <c r="K25" s="511">
        <f>I25/E25*100</f>
        <v>70.315851920907249</v>
      </c>
      <c r="L25" s="511">
        <f>(I25+I28)/(E25+E28)*100</f>
        <v>75.007330857841865</v>
      </c>
    </row>
    <row r="26" spans="2:12" s="181" customFormat="1">
      <c r="B26" s="499"/>
      <c r="C26" s="176" t="s">
        <v>103</v>
      </c>
      <c r="D26" s="504"/>
      <c r="E26" s="504"/>
      <c r="F26" s="216">
        <v>295367</v>
      </c>
      <c r="G26" s="216">
        <v>10032133</v>
      </c>
      <c r="H26" s="210">
        <f t="shared" ref="H26:H29" si="3">SUM(F26,G26)</f>
        <v>10327500</v>
      </c>
      <c r="I26" s="510"/>
      <c r="J26" s="211">
        <v>15</v>
      </c>
      <c r="K26" s="512"/>
      <c r="L26" s="512"/>
    </row>
    <row r="27" spans="2:12" s="181" customFormat="1">
      <c r="B27" s="499"/>
      <c r="C27" s="176" t="s">
        <v>104</v>
      </c>
      <c r="D27" s="504"/>
      <c r="E27" s="504"/>
      <c r="F27" s="216">
        <v>343481</v>
      </c>
      <c r="G27" s="216">
        <v>11523019</v>
      </c>
      <c r="H27" s="210">
        <f t="shared" si="3"/>
        <v>11866500</v>
      </c>
      <c r="I27" s="510"/>
      <c r="J27" s="211">
        <v>17</v>
      </c>
      <c r="K27" s="513"/>
      <c r="L27" s="512"/>
    </row>
    <row r="28" spans="2:12" s="181" customFormat="1">
      <c r="B28" s="499"/>
      <c r="C28" s="180" t="s">
        <v>105</v>
      </c>
      <c r="D28" s="504"/>
      <c r="E28" s="502">
        <v>14810000</v>
      </c>
      <c r="F28" s="215">
        <v>258984</v>
      </c>
      <c r="G28" s="215">
        <v>7589016</v>
      </c>
      <c r="H28" s="207">
        <f t="shared" si="3"/>
        <v>7848000</v>
      </c>
      <c r="I28" s="507">
        <v>13500000</v>
      </c>
      <c r="J28" s="208">
        <v>12</v>
      </c>
      <c r="K28" s="511">
        <f>I28/E28*100</f>
        <v>91.154625253207286</v>
      </c>
      <c r="L28" s="512"/>
    </row>
    <row r="29" spans="2:12" s="95" customFormat="1">
      <c r="B29" s="500"/>
      <c r="C29" s="184" t="s">
        <v>106</v>
      </c>
      <c r="D29" s="503"/>
      <c r="E29" s="503"/>
      <c r="F29" s="217">
        <v>186516</v>
      </c>
      <c r="G29" s="217">
        <v>5465484</v>
      </c>
      <c r="H29" s="213">
        <f t="shared" si="3"/>
        <v>5652000</v>
      </c>
      <c r="I29" s="508"/>
      <c r="J29" s="218">
        <v>9</v>
      </c>
      <c r="K29" s="513"/>
      <c r="L29" s="512"/>
    </row>
    <row r="30" spans="2:12">
      <c r="B30" s="489" t="s">
        <v>107</v>
      </c>
      <c r="C30" s="153" t="s">
        <v>108</v>
      </c>
      <c r="D30" s="502">
        <v>22680000</v>
      </c>
      <c r="E30" s="219">
        <v>9180000</v>
      </c>
      <c r="F30" s="206">
        <v>124740</v>
      </c>
      <c r="G30" s="153">
        <v>6040260</v>
      </c>
      <c r="H30" s="207">
        <f>SUM(F30,G30)</f>
        <v>6165000</v>
      </c>
      <c r="I30" s="507">
        <v>12303000</v>
      </c>
      <c r="J30" s="208">
        <v>23</v>
      </c>
      <c r="K30" s="247">
        <f>H30/E30*100</f>
        <v>67.156862745098039</v>
      </c>
      <c r="L30" s="511">
        <f>I30/D30*100</f>
        <v>54.24603174603174</v>
      </c>
    </row>
    <row r="31" spans="2:12">
      <c r="B31" s="501"/>
      <c r="C31" s="154" t="s">
        <v>109</v>
      </c>
      <c r="D31" s="504"/>
      <c r="E31" s="220">
        <v>4912900</v>
      </c>
      <c r="F31" s="209">
        <v>43956</v>
      </c>
      <c r="G31" s="154">
        <v>1924044</v>
      </c>
      <c r="H31" s="210">
        <f t="shared" ref="H31:H33" si="4">SUM(F31,G31)</f>
        <v>1968000</v>
      </c>
      <c r="I31" s="510"/>
      <c r="J31" s="221">
        <v>18</v>
      </c>
      <c r="K31" s="250">
        <f>H31/E31*100</f>
        <v>40.057806997903477</v>
      </c>
      <c r="L31" s="512"/>
    </row>
    <row r="32" spans="2:12">
      <c r="B32" s="501"/>
      <c r="C32" s="154" t="s">
        <v>110</v>
      </c>
      <c r="D32" s="504"/>
      <c r="E32" s="220">
        <v>3855800</v>
      </c>
      <c r="F32" s="209">
        <v>43164</v>
      </c>
      <c r="G32" s="154">
        <v>2050836</v>
      </c>
      <c r="H32" s="210">
        <f t="shared" si="4"/>
        <v>2094000</v>
      </c>
      <c r="I32" s="510"/>
      <c r="J32" s="221">
        <v>19</v>
      </c>
      <c r="K32" s="250">
        <f>H32/E32*100</f>
        <v>54.307796047512838</v>
      </c>
      <c r="L32" s="512"/>
    </row>
    <row r="33" spans="2:12">
      <c r="B33" s="490"/>
      <c r="C33" s="184" t="s">
        <v>111</v>
      </c>
      <c r="D33" s="503"/>
      <c r="E33" s="222">
        <v>4607500</v>
      </c>
      <c r="F33" s="213">
        <v>48312</v>
      </c>
      <c r="G33" s="184">
        <v>2027688</v>
      </c>
      <c r="H33" s="213">
        <f t="shared" si="4"/>
        <v>2076000</v>
      </c>
      <c r="I33" s="508"/>
      <c r="J33" s="218">
        <v>20</v>
      </c>
      <c r="K33" s="249">
        <f>H33/E33*100</f>
        <v>45.056972327726534</v>
      </c>
      <c r="L33" s="513"/>
    </row>
    <row r="34" spans="2:12" s="95" customFormat="1" ht="17.25" customHeight="1">
      <c r="B34" s="235" t="s">
        <v>112</v>
      </c>
      <c r="C34" s="203" t="s">
        <v>113</v>
      </c>
      <c r="D34" s="223">
        <v>19620000</v>
      </c>
      <c r="E34" s="224">
        <v>18721400</v>
      </c>
      <c r="F34" s="237" t="s">
        <v>76</v>
      </c>
      <c r="G34" s="237" t="s">
        <v>76</v>
      </c>
      <c r="H34" s="237" t="s">
        <v>76</v>
      </c>
      <c r="I34" s="238" t="s">
        <v>81</v>
      </c>
      <c r="J34" s="225" t="s">
        <v>76</v>
      </c>
      <c r="K34" s="252" t="s">
        <v>76</v>
      </c>
      <c r="L34" s="249" t="s">
        <v>76</v>
      </c>
    </row>
    <row r="35" spans="2:12" s="95" customFormat="1">
      <c r="B35" s="489" t="s">
        <v>114</v>
      </c>
      <c r="C35" s="182" t="s">
        <v>115</v>
      </c>
      <c r="D35" s="502">
        <v>1550000</v>
      </c>
      <c r="E35" s="219">
        <v>550000</v>
      </c>
      <c r="F35" s="226">
        <v>198000</v>
      </c>
      <c r="G35" s="154">
        <v>5802000</v>
      </c>
      <c r="H35" s="206">
        <f>SUM(F35,G35)</f>
        <v>6000000</v>
      </c>
      <c r="I35" s="507">
        <v>7500000</v>
      </c>
      <c r="J35" s="208">
        <v>50</v>
      </c>
      <c r="K35" s="239">
        <f>H35/E35*100</f>
        <v>1090.9090909090908</v>
      </c>
      <c r="L35" s="512">
        <f>I35/D35*100</f>
        <v>483.87096774193549</v>
      </c>
    </row>
    <row r="36" spans="2:12" s="95" customFormat="1">
      <c r="B36" s="490"/>
      <c r="C36" s="183" t="s">
        <v>116</v>
      </c>
      <c r="D36" s="503"/>
      <c r="E36" s="222">
        <v>786200</v>
      </c>
      <c r="F36" s="227">
        <v>49500</v>
      </c>
      <c r="G36" s="212">
        <v>1450500</v>
      </c>
      <c r="H36" s="228">
        <f>SUM(F36,G36)</f>
        <v>1500000</v>
      </c>
      <c r="I36" s="508"/>
      <c r="J36" s="218">
        <v>20</v>
      </c>
      <c r="K36" s="249">
        <f>H36/E36*100</f>
        <v>190.79114729076571</v>
      </c>
      <c r="L36" s="513"/>
    </row>
    <row r="37" spans="2:12" s="76" customFormat="1">
      <c r="B37" s="491" t="s">
        <v>117</v>
      </c>
      <c r="C37" s="491"/>
      <c r="D37" s="229">
        <f>SUM(D20,D25,D30,D34,D35)</f>
        <v>127550000</v>
      </c>
      <c r="E37" s="229">
        <f>SUM(E20:E36)</f>
        <v>124097370</v>
      </c>
      <c r="F37" s="230">
        <f>SUM(F20:F36)</f>
        <v>2603504</v>
      </c>
      <c r="G37" s="230">
        <f>SUM(G20:G36)</f>
        <v>88472496</v>
      </c>
      <c r="H37" s="231">
        <f>SUM(F37,G37)</f>
        <v>91076000</v>
      </c>
      <c r="I37" s="232">
        <f>SUM(F37,G37)</f>
        <v>91076000</v>
      </c>
      <c r="J37" s="233">
        <v>917</v>
      </c>
      <c r="K37" s="251">
        <f>H37/E37*100</f>
        <v>73.390757596232703</v>
      </c>
      <c r="L37" s="251">
        <f>I37/E37*100</f>
        <v>73.390757596232703</v>
      </c>
    </row>
    <row r="38" spans="2:12">
      <c r="B38" s="515" t="s">
        <v>118</v>
      </c>
      <c r="C38" s="515"/>
      <c r="D38" s="515"/>
      <c r="E38" s="515"/>
      <c r="F38" s="515"/>
      <c r="G38" s="515"/>
      <c r="H38" s="515"/>
      <c r="I38" s="515"/>
      <c r="J38" s="515"/>
      <c r="K38" s="515"/>
    </row>
  </sheetData>
  <mergeCells count="40">
    <mergeCell ref="L30:L33"/>
    <mergeCell ref="L35:L36"/>
    <mergeCell ref="B14:J14"/>
    <mergeCell ref="B38:K38"/>
    <mergeCell ref="K25:K27"/>
    <mergeCell ref="K28:K29"/>
    <mergeCell ref="B16:J16"/>
    <mergeCell ref="L18:L19"/>
    <mergeCell ref="L20:L24"/>
    <mergeCell ref="L25:L29"/>
    <mergeCell ref="B17:K17"/>
    <mergeCell ref="K18:K19"/>
    <mergeCell ref="I35:I36"/>
    <mergeCell ref="E25:E27"/>
    <mergeCell ref="E28:E29"/>
    <mergeCell ref="I25:I27"/>
    <mergeCell ref="B18:B19"/>
    <mergeCell ref="C18:C19"/>
    <mergeCell ref="I28:I29"/>
    <mergeCell ref="B30:B33"/>
    <mergeCell ref="D30:D33"/>
    <mergeCell ref="F18:I18"/>
    <mergeCell ref="I20:I24"/>
    <mergeCell ref="I30:I33"/>
    <mergeCell ref="J18:J19"/>
    <mergeCell ref="B37:C37"/>
    <mergeCell ref="B1:J1"/>
    <mergeCell ref="B3:B4"/>
    <mergeCell ref="C3:C4"/>
    <mergeCell ref="D3:E3"/>
    <mergeCell ref="F3:G3"/>
    <mergeCell ref="J3:J4"/>
    <mergeCell ref="I3:I4"/>
    <mergeCell ref="B35:B36"/>
    <mergeCell ref="B25:B29"/>
    <mergeCell ref="B20:B24"/>
    <mergeCell ref="D35:D36"/>
    <mergeCell ref="D20:D24"/>
    <mergeCell ref="D25:D29"/>
    <mergeCell ref="D18:E1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  <ignoredErrors>
    <ignoredError sqref="E9:F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E289-39DE-4C3C-A6E6-F1398EE3C4F8}">
  <dimension ref="A1:R36"/>
  <sheetViews>
    <sheetView zoomScale="85" zoomScaleNormal="85" workbookViewId="0">
      <selection activeCell="A2" sqref="A2"/>
    </sheetView>
  </sheetViews>
  <sheetFormatPr defaultRowHeight="16.5"/>
  <cols>
    <col min="2" max="2" width="4.875" bestFit="1" customWidth="1"/>
    <col min="3" max="3" width="16.375" bestFit="1" customWidth="1"/>
    <col min="4" max="4" width="23.375" bestFit="1" customWidth="1"/>
    <col min="7" max="7" width="10.75" bestFit="1" customWidth="1"/>
    <col min="8" max="8" width="50" bestFit="1" customWidth="1"/>
  </cols>
  <sheetData>
    <row r="1" spans="1:18" ht="26.25">
      <c r="A1" s="519" t="s">
        <v>173</v>
      </c>
      <c r="B1" s="519"/>
      <c r="C1" s="519"/>
      <c r="D1" s="519"/>
      <c r="E1" s="519"/>
      <c r="F1" s="519"/>
      <c r="G1" s="519"/>
      <c r="H1" s="519"/>
    </row>
    <row r="2" spans="1:18" ht="16.5" customHeight="1">
      <c r="A2" s="96"/>
      <c r="B2" s="96"/>
      <c r="C2" s="96"/>
      <c r="D2" s="96"/>
      <c r="E2" s="96"/>
      <c r="F2" s="96"/>
      <c r="G2" s="96"/>
      <c r="H2" s="96"/>
    </row>
    <row r="3" spans="1:18">
      <c r="H3" s="97" t="s">
        <v>119</v>
      </c>
    </row>
    <row r="4" spans="1:18" ht="30" customHeight="1">
      <c r="A4" s="105" t="s">
        <v>120</v>
      </c>
      <c r="B4" s="98" t="s">
        <v>121</v>
      </c>
      <c r="C4" s="98" t="s">
        <v>122</v>
      </c>
      <c r="D4" s="98" t="s">
        <v>123</v>
      </c>
      <c r="E4" s="98" t="s">
        <v>124</v>
      </c>
      <c r="F4" s="98" t="s">
        <v>125</v>
      </c>
      <c r="G4" s="98" t="s">
        <v>126</v>
      </c>
      <c r="H4" s="98" t="s">
        <v>127</v>
      </c>
    </row>
    <row r="5" spans="1:18" ht="30" customHeight="1">
      <c r="A5" s="103" t="s">
        <v>128</v>
      </c>
      <c r="B5" s="524" t="s">
        <v>129</v>
      </c>
      <c r="C5" s="525"/>
      <c r="D5" s="109"/>
      <c r="E5" s="110">
        <f>SUM(E6:E17)</f>
        <v>30</v>
      </c>
      <c r="F5" s="110">
        <f>SUM(F6:F17)</f>
        <v>21</v>
      </c>
      <c r="G5" s="99"/>
      <c r="H5" s="100"/>
    </row>
    <row r="6" spans="1:18" ht="30" customHeight="1">
      <c r="A6" s="104"/>
      <c r="B6" s="102">
        <v>1</v>
      </c>
      <c r="C6" s="100" t="s">
        <v>130</v>
      </c>
      <c r="D6" s="100" t="s">
        <v>131</v>
      </c>
      <c r="E6" s="101">
        <v>30</v>
      </c>
      <c r="F6" s="101">
        <v>21</v>
      </c>
      <c r="G6" s="99" t="s">
        <v>132</v>
      </c>
      <c r="H6" s="100" t="s">
        <v>133</v>
      </c>
    </row>
    <row r="7" spans="1:18" ht="30" customHeight="1">
      <c r="A7" s="104"/>
      <c r="B7" s="102">
        <v>2</v>
      </c>
      <c r="C7" s="100"/>
      <c r="D7" s="100"/>
      <c r="E7" s="101"/>
      <c r="F7" s="101"/>
      <c r="G7" s="99"/>
      <c r="H7" s="100"/>
    </row>
    <row r="8" spans="1:18" ht="30" customHeight="1">
      <c r="A8" s="104"/>
      <c r="B8" s="102">
        <v>3</v>
      </c>
      <c r="C8" s="100"/>
      <c r="D8" s="100"/>
      <c r="E8" s="101"/>
      <c r="F8" s="101"/>
      <c r="G8" s="99"/>
      <c r="H8" s="100"/>
    </row>
    <row r="9" spans="1:18" ht="30" customHeight="1">
      <c r="A9" s="104"/>
      <c r="B9" s="102">
        <v>4</v>
      </c>
      <c r="C9" s="100"/>
      <c r="D9" s="100"/>
      <c r="E9" s="101"/>
      <c r="F9" s="101"/>
      <c r="G9" s="99"/>
      <c r="H9" s="100"/>
    </row>
    <row r="10" spans="1:18" ht="30" customHeight="1">
      <c r="A10" s="104"/>
      <c r="B10" s="102">
        <v>5</v>
      </c>
      <c r="C10" s="100"/>
      <c r="D10" s="100"/>
      <c r="E10" s="101"/>
      <c r="F10" s="101"/>
      <c r="G10" s="99"/>
      <c r="H10" s="100"/>
    </row>
    <row r="11" spans="1:18" ht="30" customHeight="1">
      <c r="A11" s="104"/>
      <c r="B11" s="102">
        <v>6</v>
      </c>
      <c r="C11" s="100"/>
      <c r="D11" s="100"/>
      <c r="E11" s="101"/>
      <c r="F11" s="101"/>
      <c r="G11" s="99"/>
      <c r="H11" s="100"/>
    </row>
    <row r="12" spans="1:18" ht="30" customHeight="1">
      <c r="A12" s="104"/>
      <c r="B12" s="159">
        <v>7</v>
      </c>
      <c r="C12" s="160"/>
      <c r="D12" s="160"/>
      <c r="E12" s="155"/>
      <c r="F12" s="155"/>
      <c r="G12" s="161"/>
      <c r="H12" s="160"/>
    </row>
    <row r="13" spans="1:18" ht="30" customHeight="1">
      <c r="A13" s="158"/>
      <c r="B13" s="157">
        <v>8</v>
      </c>
      <c r="C13" s="100"/>
      <c r="D13" s="100"/>
      <c r="E13" s="101"/>
      <c r="F13" s="101"/>
      <c r="G13" s="99"/>
      <c r="H13" s="162"/>
    </row>
    <row r="14" spans="1:18" ht="30" customHeight="1">
      <c r="A14" s="158"/>
      <c r="B14" s="157">
        <v>9</v>
      </c>
      <c r="C14" s="100"/>
      <c r="D14" s="100"/>
      <c r="E14" s="101"/>
      <c r="F14" s="101"/>
      <c r="G14" s="99"/>
      <c r="H14" s="162"/>
    </row>
    <row r="15" spans="1:18" ht="30" customHeight="1">
      <c r="A15" s="158"/>
      <c r="B15" s="157">
        <v>10</v>
      </c>
      <c r="C15" s="160"/>
      <c r="D15" s="160"/>
      <c r="E15" s="155"/>
      <c r="F15" s="155"/>
      <c r="G15" s="161"/>
      <c r="H15" s="164"/>
    </row>
    <row r="16" spans="1:18" ht="30" customHeight="1">
      <c r="A16" s="158"/>
      <c r="B16" s="163">
        <v>11</v>
      </c>
      <c r="C16" s="100"/>
      <c r="D16" s="100"/>
      <c r="E16" s="100"/>
      <c r="F16" s="100"/>
      <c r="G16" s="99"/>
      <c r="H16" s="162"/>
      <c r="R16" t="s">
        <v>135</v>
      </c>
    </row>
    <row r="17" spans="1:8" ht="30" customHeight="1">
      <c r="A17" s="158"/>
      <c r="B17" s="170">
        <v>12</v>
      </c>
      <c r="C17" s="171"/>
      <c r="D17" s="171"/>
      <c r="E17" s="156"/>
      <c r="F17" s="156"/>
      <c r="G17" s="172"/>
      <c r="H17" s="171"/>
    </row>
    <row r="18" spans="1:8" ht="30" customHeight="1">
      <c r="A18" s="165" t="s">
        <v>136</v>
      </c>
      <c r="B18" s="520" t="s">
        <v>129</v>
      </c>
      <c r="C18" s="521"/>
      <c r="D18" s="166">
        <f>SUM(B30)</f>
        <v>12</v>
      </c>
      <c r="E18" s="167">
        <f>SUM(E19:E30)</f>
        <v>12</v>
      </c>
      <c r="F18" s="167">
        <f>SUM(F19:F32)</f>
        <v>12</v>
      </c>
      <c r="G18" s="168"/>
      <c r="H18" s="169"/>
    </row>
    <row r="19" spans="1:8" ht="30" customHeight="1">
      <c r="A19" s="106"/>
      <c r="B19" s="102">
        <v>1</v>
      </c>
      <c r="C19" s="99" t="s">
        <v>137</v>
      </c>
      <c r="D19" s="100" t="s">
        <v>138</v>
      </c>
      <c r="E19" s="101">
        <v>12</v>
      </c>
      <c r="F19" s="101">
        <v>12</v>
      </c>
      <c r="G19" s="99" t="s">
        <v>132</v>
      </c>
      <c r="H19" s="100" t="s">
        <v>139</v>
      </c>
    </row>
    <row r="20" spans="1:8" ht="30" customHeight="1">
      <c r="A20" s="106"/>
      <c r="B20" s="102">
        <v>2</v>
      </c>
      <c r="C20" s="99"/>
      <c r="D20" s="100"/>
      <c r="E20" s="101"/>
      <c r="F20" s="101"/>
      <c r="G20" s="99"/>
      <c r="H20" s="100"/>
    </row>
    <row r="21" spans="1:8" ht="30" customHeight="1">
      <c r="A21" s="106"/>
      <c r="B21" s="102">
        <v>3</v>
      </c>
      <c r="C21" s="99"/>
      <c r="D21" s="100"/>
      <c r="E21" s="101"/>
      <c r="F21" s="526"/>
      <c r="G21" s="99"/>
      <c r="H21" s="100"/>
    </row>
    <row r="22" spans="1:8" ht="30" customHeight="1">
      <c r="A22" s="106"/>
      <c r="B22" s="102">
        <v>4</v>
      </c>
      <c r="C22" s="99"/>
      <c r="D22" s="100"/>
      <c r="E22" s="101"/>
      <c r="F22" s="527"/>
      <c r="G22" s="99"/>
      <c r="H22" s="100"/>
    </row>
    <row r="23" spans="1:8" ht="30" customHeight="1">
      <c r="A23" s="106"/>
      <c r="B23" s="102">
        <v>5</v>
      </c>
      <c r="C23" s="99"/>
      <c r="D23" s="100"/>
      <c r="E23" s="101"/>
      <c r="F23" s="526"/>
      <c r="G23" s="99"/>
      <c r="H23" s="100"/>
    </row>
    <row r="24" spans="1:8" ht="30" customHeight="1">
      <c r="A24" s="106"/>
      <c r="B24" s="102">
        <v>6</v>
      </c>
      <c r="C24" s="99"/>
      <c r="D24" s="100"/>
      <c r="E24" s="101"/>
      <c r="F24" s="527"/>
      <c r="G24" s="99"/>
      <c r="H24" s="100"/>
    </row>
    <row r="25" spans="1:8" ht="30" customHeight="1">
      <c r="A25" s="106"/>
      <c r="B25" s="102">
        <v>7</v>
      </c>
      <c r="C25" s="99"/>
      <c r="D25" s="100"/>
      <c r="E25" s="101"/>
      <c r="F25" s="101"/>
      <c r="G25" s="99"/>
      <c r="H25" s="100"/>
    </row>
    <row r="26" spans="1:8" ht="30" customHeight="1">
      <c r="A26" s="106"/>
      <c r="B26" s="102">
        <v>8</v>
      </c>
      <c r="C26" s="99"/>
      <c r="D26" s="100"/>
      <c r="E26" s="101"/>
      <c r="F26" s="526"/>
      <c r="G26" s="99"/>
      <c r="H26" s="100"/>
    </row>
    <row r="27" spans="1:8" ht="30" customHeight="1">
      <c r="A27" s="106"/>
      <c r="B27" s="102">
        <v>9</v>
      </c>
      <c r="C27" s="99"/>
      <c r="D27" s="100"/>
      <c r="E27" s="101"/>
      <c r="F27" s="527"/>
      <c r="G27" s="99"/>
      <c r="H27" s="100"/>
    </row>
    <row r="28" spans="1:8" ht="30" customHeight="1">
      <c r="A28" s="106"/>
      <c r="B28" s="102">
        <v>10</v>
      </c>
      <c r="C28" s="99"/>
      <c r="D28" s="100"/>
      <c r="E28" s="101"/>
      <c r="F28" s="526"/>
      <c r="G28" s="99"/>
      <c r="H28" s="100"/>
    </row>
    <row r="29" spans="1:8" ht="30" customHeight="1">
      <c r="A29" s="106"/>
      <c r="B29" s="102">
        <v>11</v>
      </c>
      <c r="C29" s="99"/>
      <c r="D29" s="100"/>
      <c r="E29" s="101"/>
      <c r="F29" s="528"/>
      <c r="G29" s="99"/>
      <c r="H29" s="100"/>
    </row>
    <row r="30" spans="1:8" ht="30" customHeight="1">
      <c r="A30" s="106"/>
      <c r="B30" s="102">
        <v>12</v>
      </c>
      <c r="C30" s="99"/>
      <c r="D30" s="100"/>
      <c r="E30" s="101"/>
      <c r="F30" s="528"/>
      <c r="G30" s="99"/>
      <c r="H30" s="100"/>
    </row>
    <row r="31" spans="1:8" ht="30" customHeight="1">
      <c r="A31" s="106"/>
      <c r="B31" s="102">
        <v>13</v>
      </c>
      <c r="C31" s="99"/>
      <c r="D31" s="100"/>
      <c r="E31" s="101"/>
      <c r="F31" s="101"/>
      <c r="G31" s="99"/>
      <c r="H31" s="100"/>
    </row>
    <row r="32" spans="1:8" ht="30" customHeight="1">
      <c r="A32" s="106"/>
      <c r="B32" s="159">
        <v>14</v>
      </c>
      <c r="C32" s="161"/>
      <c r="D32" s="160"/>
      <c r="E32" s="155"/>
      <c r="F32" s="155"/>
      <c r="G32" s="161"/>
      <c r="H32" s="160"/>
    </row>
    <row r="33" spans="1:8" ht="30" customHeight="1">
      <c r="A33" s="173" t="s">
        <v>140</v>
      </c>
      <c r="B33" s="522" t="s">
        <v>129</v>
      </c>
      <c r="C33" s="523"/>
      <c r="D33" s="174"/>
      <c r="E33" s="175"/>
      <c r="F33" s="175"/>
      <c r="G33" s="168"/>
      <c r="H33" s="169"/>
    </row>
    <row r="34" spans="1:8" ht="30" customHeight="1">
      <c r="A34" s="107"/>
      <c r="B34" s="102">
        <v>1</v>
      </c>
      <c r="C34" s="99" t="s">
        <v>141</v>
      </c>
      <c r="D34" s="100"/>
      <c r="E34" s="101"/>
      <c r="F34" s="101"/>
      <c r="G34" s="99"/>
      <c r="H34" s="100"/>
    </row>
    <row r="35" spans="1:8" ht="30" customHeight="1">
      <c r="A35" s="108"/>
      <c r="B35" s="102">
        <v>2</v>
      </c>
      <c r="C35" s="99" t="s">
        <v>141</v>
      </c>
      <c r="D35" s="100"/>
      <c r="E35" s="100"/>
      <c r="F35" s="100"/>
      <c r="G35" s="99"/>
      <c r="H35" s="100"/>
    </row>
    <row r="36" spans="1:8">
      <c r="A36" s="95"/>
    </row>
  </sheetData>
  <mergeCells count="8">
    <mergeCell ref="A1:H1"/>
    <mergeCell ref="B18:C18"/>
    <mergeCell ref="B33:C33"/>
    <mergeCell ref="B5:C5"/>
    <mergeCell ref="F23:F24"/>
    <mergeCell ref="F21:F22"/>
    <mergeCell ref="F26:F27"/>
    <mergeCell ref="F28:F3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64B7-2327-44EB-AE16-5EA52178E321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a9194c-e9a0-44d3-bbd3-5f89eaa9d191" xsi:nil="true"/>
    <lcf76f155ced4ddcb4097134ff3c332f xmlns="cef58463-a470-48e0-b9e8-f47b9610e50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CACF5B748BE7D4694FF277D73DFA9F9" ma:contentTypeVersion="13" ma:contentTypeDescription="새 문서를 만듭니다." ma:contentTypeScope="" ma:versionID="956cf1ffb9f789244df4b0fa8ce09418">
  <xsd:schema xmlns:xsd="http://www.w3.org/2001/XMLSchema" xmlns:xs="http://www.w3.org/2001/XMLSchema" xmlns:p="http://schemas.microsoft.com/office/2006/metadata/properties" xmlns:ns2="cef58463-a470-48e0-b9e8-f47b9610e506" xmlns:ns3="56a9194c-e9a0-44d3-bbd3-5f89eaa9d191" targetNamespace="http://schemas.microsoft.com/office/2006/metadata/properties" ma:root="true" ma:fieldsID="50ce78191d7ecbb2322f08ca2173d315" ns2:_="" ns3:_="">
    <xsd:import namespace="cef58463-a470-48e0-b9e8-f47b9610e506"/>
    <xsd:import namespace="56a9194c-e9a0-44d3-bbd3-5f89eaa9d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58463-a470-48e0-b9e8-f47b9610e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20ec99ea-01b1-40d5-b6d4-9c3a40c91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9194c-e9a0-44d3-bbd3-5f89eaa9d19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aa07ed3-8a3a-4cae-97f3-46c4e31dbffd}" ma:internalName="TaxCatchAll" ma:showField="CatchAllData" ma:web="56a9194c-e9a0-44d3-bbd3-5f89eaa9d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D6B331-91E1-4318-99D1-E035B7DD1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5DF0BF-824B-4BCC-95A1-A62FC97D89B6}">
  <ds:schemaRefs>
    <ds:schemaRef ds:uri="http://schemas.microsoft.com/office/2006/metadata/properties"/>
    <ds:schemaRef ds:uri="http://schemas.microsoft.com/office/infopath/2007/PartnerControls"/>
    <ds:schemaRef ds:uri="56a9194c-e9a0-44d3-bbd3-5f89eaa9d191"/>
    <ds:schemaRef ds:uri="cef58463-a470-48e0-b9e8-f47b9610e506"/>
  </ds:schemaRefs>
</ds:datastoreItem>
</file>

<file path=customXml/itemProps3.xml><?xml version="1.0" encoding="utf-8"?>
<ds:datastoreItem xmlns:ds="http://schemas.openxmlformats.org/officeDocument/2006/customXml" ds:itemID="{B90A6E53-A65A-43DC-844B-8906467E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58463-a470-48e0-b9e8-f47b9610e506"/>
    <ds:schemaRef ds:uri="56a9194c-e9a0-44d3-bbd3-5f89eaa9d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26공연</vt:lpstr>
      <vt:lpstr>25전시</vt:lpstr>
      <vt:lpstr>25교육</vt:lpstr>
      <vt:lpstr>26 문화나눔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강명희</cp:lastModifiedBy>
  <cp:revision/>
  <dcterms:created xsi:type="dcterms:W3CDTF">2024-12-20T02:18:44Z</dcterms:created>
  <dcterms:modified xsi:type="dcterms:W3CDTF">2026-06-05T02:00:11Z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0x010100CCACF5B748BE7D4694FF277D73DFA9F9</vt:lpwstr>
  </property>
  <property fmtid="{D5CDD505-2E9C-101B-9397-08002B2CF9AE}" pid="3" name="Order">
    <vt:r8>1084100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