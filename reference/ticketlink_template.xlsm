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현재_통합_문서" defaultThemeVersion="124226"/>
  <xr:revisionPtr revIDLastSave="0" documentId="8_{67C4EEA5-4C63-4D96-A892-2ADD3101EECE}" xr6:coauthVersionLast="47" xr6:coauthVersionMax="47" xr10:uidLastSave="{00000000-0000-0000-0000-000000000000}"/>
  <bookViews>
    <workbookView xWindow="-108" yWindow="-108" windowWidth="41496" windowHeight="16776" activeTab="0" xr2:uid="{00000000-000D-0000-FFFF-FFFF00000000}"/>
  </bookViews>
  <sheets>
    <sheet name="1.판매대행의뢰서" sheetId="2" r:id="rId2"/>
    <sheet name="2.티켓오픈공지문" sheetId="4" r:id="rId3"/>
    <sheet name="3.이미지 사이즈표" sheetId="10" r:id="rId4"/>
  </sheets>
  <definedNames>
    <definedName name="구분목록">'1.판매대행의뢰서'!$AK$13:$AK$15</definedName>
    <definedName name="장소_공연">'1.판매대행의뢰서'!$AL$13:$AL$14</definedName>
    <definedName name="장소_전시">'1.판매대행의뢰서'!$AM$13:$AM$14</definedName>
    <definedName name="장소_예술교육">'1.판매대행의뢰서'!$AN$13:$AN$13</definedName>
    <definedName name="_xlnm.Print_Area" localSheetId="0">'1.판매대행의뢰서'!$A$1:$AE$62</definedName>
    <definedName name="_xlnm.Print_Area" localSheetId="1">'2.티켓오픈공지문'!$A$1:$AB$22</definedName>
  </definedNames>
  <calcPr fullCalcOnLoad="1"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NHN</author>
    <author>NHNENT</author>
    <author>nhnent</author>
  </authors>
  <commentList>
    <comment ref="G13" authorId="0" shapeId="0" xr:uid="{8DB55894-E188-4858-8957-EDFF77FE5993}">
      <text>
        <r>
          <rPr>
            <sz val="9"/>
            <color indexed="81"/>
            <rFont val="나눔고딕"/>
            <family val="3"/>
            <charset val="129"/>
          </rPr>
          <t xml:space="preserve">기본 배정되는 기획사 채널 외 추가 배정이 필요한 현장 채널 및 기획사 채널 필요한 경우 사용 체크 부탁드립니다. </t>
        </r>
      </text>
    </comment>
    <comment ref="AA14" authorId="0" shapeId="0" xr:uid="{4891A5FB-B4C8-4F81-8781-A87945C22D3E}">
      <text>
        <r>
          <rPr>
            <b/>
            <sz val="9"/>
            <color indexed="81"/>
            <rFont val="나눔고딕"/>
            <family val="3"/>
            <charset val="129"/>
          </rPr>
          <t>티켓판매가 시작되는 일정</t>
        </r>
        <r>
          <rPr>
            <sz val="9"/>
            <color indexed="81"/>
            <rFont val="나눔고딕"/>
            <family val="3"/>
            <charset val="129"/>
          </rPr>
          <t xml:space="preserve">을 의미합니다. 
</t>
        </r>
        <r>
          <rPr>
            <b/>
            <sz val="9"/>
            <color indexed="81"/>
            <rFont val="나눔고딕"/>
            <family val="3"/>
            <charset val="129"/>
          </rPr>
          <t>날짜, 시간</t>
        </r>
        <r>
          <rPr>
            <sz val="9"/>
            <color indexed="81"/>
            <rFont val="나눔고딕"/>
            <family val="3"/>
            <charset val="129"/>
          </rPr>
          <t xml:space="preserve">까지 기입하여 전달부탁드립니다.
</t>
        </r>
        <r>
          <rPr>
            <b/>
            <sz val="9"/>
            <color indexed="81"/>
            <rFont val="나눔고딕"/>
            <family val="3"/>
            <charset val="129"/>
          </rPr>
          <t>티켓오픈</t>
        </r>
        <r>
          <rPr>
            <sz val="9"/>
            <color indexed="81"/>
            <rFont val="나눔고딕"/>
            <family val="3"/>
            <charset val="129"/>
          </rPr>
          <t>은 영업일로부터</t>
        </r>
        <r>
          <rPr>
            <b/>
            <sz val="9"/>
            <color indexed="81"/>
            <rFont val="나눔고딕"/>
            <family val="3"/>
            <charset val="129"/>
          </rPr>
          <t xml:space="preserve"> 최소 3일이상 소요</t>
        </r>
        <r>
          <rPr>
            <sz val="9"/>
            <color indexed="81"/>
            <rFont val="나눔고딕"/>
            <family val="3"/>
            <charset val="129"/>
          </rPr>
          <t>되오니, 일정 참고하여 요청부탁드립니다.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5" authorId="0" shapeId="0" xr:uid="{FE63C73B-4306-426A-9994-E8389B495D99}">
      <text>
        <r>
          <rPr>
            <b/>
            <sz val="9"/>
            <color indexed="81"/>
            <rFont val="나눔고딕"/>
            <family val="3"/>
            <charset val="129"/>
          </rPr>
          <t xml:space="preserve">공연 회차별 판매마감시간을 의미합니다.
Ex. 공연 당일 3시간 전
</t>
        </r>
        <r>
          <rPr>
            <sz val="9"/>
            <color indexed="81"/>
            <rFont val="나눔고딕"/>
            <family val="3"/>
            <charset val="129"/>
          </rPr>
          <t>단, 취소마감은  공연 전일 17시로 변경 불가</t>
        </r>
      </text>
    </comment>
    <comment ref="E22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NHNENT: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등급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권종이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기입하여주세요</t>
        </r>
        <r>
          <rPr>
            <sz val="9"/>
            <color indexed="81"/>
            <rFont val="Tahoma"/>
            <family val="2"/>
          </rPr>
          <t>.</t>
        </r>
      </text>
    </comment>
    <comment ref="Y22" authorId="0" shapeId="0" xr:uid="{E12E8713-F6B4-461F-9776-A1A94B4C229A}">
      <text>
        <r>
          <rPr>
            <b/>
            <sz val="9"/>
            <color indexed="81"/>
            <rFont val="나눔고딕"/>
            <family val="3"/>
            <charset val="129"/>
          </rPr>
          <t>* 비지정석 :  오픈좌석 수 기입
* 지정석 : 좌석등급별 좌석 수 기입</t>
        </r>
        <r>
          <rPr>
            <sz val="9"/>
            <color indexed="81"/>
            <rFont val="나눔고딕"/>
            <family val="3"/>
            <charset val="129"/>
          </rPr>
          <t xml:space="preserve">
---&gt;지정석일 경우, 좌석배치도 유첨 필수</t>
        </r>
      </text>
    </comment>
    <comment ref="E29" authorId="2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페이코</t>
        </r>
        <r>
          <rPr>
            <b/>
            <sz val="9"/>
            <color indexed="81"/>
            <rFont val="Tahoma"/>
            <family val="2"/>
          </rPr>
          <t xml:space="preserve"> VIP </t>
        </r>
        <r>
          <rPr>
            <b/>
            <sz val="9"/>
            <color indexed="81"/>
            <rFont val="돋움"/>
            <family val="3"/>
            <charset val="129"/>
          </rPr>
          <t>회원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시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티켓링크</t>
        </r>
        <r>
          <rPr>
            <b/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VIP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기획전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노출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티켓링크</t>
        </r>
        <r>
          <rPr>
            <sz val="9"/>
            <color indexed="81"/>
            <rFont val="Tahoma"/>
            <family val="2"/>
          </rPr>
          <t xml:space="preserve"> SNS(</t>
        </r>
        <r>
          <rPr>
            <sz val="9"/>
            <color indexed="81"/>
            <rFont val="돋움"/>
            <family val="3"/>
            <charset val="129"/>
          </rPr>
          <t>블로그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페이스북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인스타그램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트위터</t>
        </r>
        <r>
          <rPr>
            <sz val="9"/>
            <color indexed="81"/>
            <rFont val="Tahoma"/>
            <family val="2"/>
          </rPr>
          <t xml:space="preserve">)
3.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VIP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광고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진행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페이코</t>
        </r>
        <r>
          <rPr>
            <b/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PC,</t>
        </r>
        <r>
          <rPr>
            <sz val="9"/>
            <color indexed="81"/>
            <rFont val="돋움"/>
            <family val="3"/>
            <charset val="129"/>
          </rPr>
          <t>앱에서</t>
        </r>
        <r>
          <rPr>
            <sz val="9"/>
            <color indexed="81"/>
            <rFont val="Tahoma"/>
            <family val="2"/>
          </rPr>
          <t xml:space="preserve"> VIP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홍보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푸쉬
</t>
        </r>
        <r>
          <rPr>
            <sz val="9"/>
            <color indexed="81"/>
            <rFont val="Tahoma"/>
            <family val="2"/>
          </rPr>
          <t xml:space="preserve">* </t>
        </r>
        <r>
          <rPr>
            <sz val="9"/>
            <color indexed="81"/>
            <rFont val="돋움"/>
            <family val="3"/>
            <charset val="129"/>
          </rPr>
          <t>사정에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홍보가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추가되거나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E30" authorId="0" shapeId="0" xr:uid="{57909FEA-8DCA-4CC8-9E3B-B5A721DDF0E0}">
      <text>
        <r>
          <rPr>
            <b/>
            <sz val="9"/>
            <color indexed="81"/>
            <rFont val="나눔고딕"/>
            <family val="3"/>
            <charset val="129"/>
          </rPr>
          <t>티켓에 대한 할인 권종이 있을 시 필수 기입.</t>
        </r>
        <r>
          <rPr>
            <sz val="9"/>
            <color indexed="81"/>
            <rFont val="나눔고딕"/>
            <family val="3"/>
            <charset val="129"/>
          </rPr>
          <t xml:space="preserve">
등급에 따른 할인율/적용회차/매수제한 등 상세히 기재해주셔야 합니다.</t>
        </r>
      </text>
    </comment>
    <comment ref="A38" authorId="0" shapeId="0" xr:uid="{7CE6FF8D-3560-49E3-BBD6-B73EB3794D73}">
      <text>
        <r>
          <rPr>
            <sz val="9"/>
            <color indexed="81"/>
            <rFont val="나눔고딕"/>
            <family val="3"/>
            <charset val="129"/>
          </rPr>
          <t>계약 기획사와 정산 기획사는 동일해야 합니다. 
참고하여 작성 부탁드립니다.</t>
        </r>
      </text>
    </comment>
    <comment ref="A44" authorId="0" shapeId="0" xr:uid="{F858568B-7D84-47B5-A21E-A04B4952A059}">
      <text>
        <r>
          <rPr>
            <b/>
            <sz val="9"/>
            <color indexed="81"/>
            <rFont val="돋움"/>
            <family val="3"/>
            <charset val="129"/>
          </rPr>
          <t>공연법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공연예술통합전산망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단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온라인공연은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제외</t>
        </r>
      </text>
    </comment>
    <comment ref="B54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http://ticketlink.co.kr 
</t>
        </r>
        <r>
          <rPr>
            <b/>
            <sz val="9"/>
            <color indexed="81"/>
            <rFont val="돋움"/>
            <family val="3"/>
            <charset val="129"/>
          </rPr>
          <t>티켓링크에서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페이코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가입한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기재</t>
        </r>
      </text>
    </comment>
  </commentList>
</comments>
</file>

<file path=xl/sharedStrings.xml><?xml version="1.0" encoding="utf-8"?>
<sst xmlns="http://schemas.openxmlformats.org/spreadsheetml/2006/main" count="319" uniqueCount="260">
  <si>
    <t>제목</t>
    <phoneticPr fontId="1" type="noConversion"/>
  </si>
  <si>
    <t>부제목</t>
    <phoneticPr fontId="1" type="noConversion"/>
  </si>
  <si>
    <t>기획사명</t>
  </si>
  <si>
    <t>예매자 티켓발권</t>
    <phoneticPr fontId="1" type="noConversion"/>
  </si>
  <si>
    <t>공연입장권 판매대행 의뢰서</t>
    <phoneticPr fontId="1" type="noConversion"/>
  </si>
  <si>
    <t>장 르</t>
    <phoneticPr fontId="1" type="noConversion"/>
  </si>
  <si>
    <t xml:space="preserve">   NHN티켓링크 담당자 : </t>
    <phoneticPr fontId="1" type="noConversion"/>
  </si>
  <si>
    <t>비고</t>
    <phoneticPr fontId="1" type="noConversion"/>
  </si>
  <si>
    <t>공연 정보</t>
    <phoneticPr fontId="1" type="noConversion"/>
  </si>
  <si>
    <t>분</t>
    <phoneticPr fontId="1" type="noConversion"/>
  </si>
  <si>
    <t>이상</t>
    <phoneticPr fontId="1" type="noConversion"/>
  </si>
  <si>
    <t>세</t>
    <phoneticPr fontId="1" type="noConversion"/>
  </si>
  <si>
    <t>공연 담당자명</t>
    <phoneticPr fontId="1" type="noConversion"/>
  </si>
  <si>
    <t>정산 은행명</t>
    <phoneticPr fontId="1" type="noConversion"/>
  </si>
  <si>
    <t>세금계산서 담당자명</t>
    <phoneticPr fontId="1" type="noConversion"/>
  </si>
  <si>
    <t>관람연령</t>
    <phoneticPr fontId="1" type="noConversion"/>
  </si>
  <si>
    <t>러닝타임</t>
    <phoneticPr fontId="1" type="noConversion"/>
  </si>
  <si>
    <t>인터미션</t>
    <phoneticPr fontId="1" type="noConversion"/>
  </si>
  <si>
    <t>현장 시스템 사용</t>
    <phoneticPr fontId="1" type="noConversion"/>
  </si>
  <si>
    <t>좌석 구분</t>
    <phoneticPr fontId="1" type="noConversion"/>
  </si>
  <si>
    <t>판매 형태</t>
    <phoneticPr fontId="1" type="noConversion"/>
  </si>
  <si>
    <t>정산 주기</t>
    <phoneticPr fontId="1" type="noConversion"/>
  </si>
  <si>
    <t>관리자
페이지</t>
    <phoneticPr fontId="1" type="noConversion"/>
  </si>
  <si>
    <t>총</t>
    <phoneticPr fontId="1" type="noConversion"/>
  </si>
  <si>
    <t>분</t>
    <phoneticPr fontId="1" type="noConversion"/>
  </si>
  <si>
    <t>공연등급
및
가격 배정
* 좌석세부
  사항별첨 참조</t>
    <phoneticPr fontId="1" type="noConversion"/>
  </si>
  <si>
    <t>대표자명</t>
    <phoneticPr fontId="1" type="noConversion"/>
  </si>
  <si>
    <t>사업자등록번호</t>
    <phoneticPr fontId="1" type="noConversion"/>
  </si>
  <si>
    <t>담당자 연락처</t>
    <phoneticPr fontId="1" type="noConversion"/>
  </si>
  <si>
    <t>E-mail</t>
    <phoneticPr fontId="1" type="noConversion"/>
  </si>
  <si>
    <t>예금주명</t>
    <phoneticPr fontId="1" type="noConversion"/>
  </si>
  <si>
    <t>계좌번호</t>
    <phoneticPr fontId="1" type="noConversion"/>
  </si>
  <si>
    <t>사업장 주소</t>
    <phoneticPr fontId="1" type="noConversion"/>
  </si>
  <si>
    <t>연락처</t>
    <phoneticPr fontId="1" type="noConversion"/>
  </si>
  <si>
    <t xml:space="preserve"> http://seller.ticketlink.co.kr</t>
    <phoneticPr fontId="1" type="noConversion"/>
  </si>
  <si>
    <t>상품
상세
정보</t>
    <phoneticPr fontId="1" type="noConversion"/>
  </si>
  <si>
    <t>공지사항 제목</t>
    <phoneticPr fontId="1" type="noConversion"/>
  </si>
  <si>
    <t/>
  </si>
  <si>
    <t>공연 정보</t>
    <phoneticPr fontId="1" type="noConversion"/>
  </si>
  <si>
    <t>기획사 정보</t>
    <phoneticPr fontId="1" type="noConversion"/>
  </si>
  <si>
    <t>공연 내용</t>
    <phoneticPr fontId="1" type="noConversion"/>
  </si>
  <si>
    <t>공지사항 등록 의뢰서</t>
    <phoneticPr fontId="1" type="noConversion"/>
  </si>
  <si>
    <t>* 기획사는 오직 신고된 계좌로만의 지급만이 적절한 지급임을 인정하고, 이와 관련하여 발생하는 손실에 대해서는 어떠한 이의를 제기하지 아니함을 약정합니다.</t>
    <phoneticPr fontId="1" type="noConversion"/>
  </si>
  <si>
    <t xml:space="preserve">* 입금계좌는 계약한 기획사명의의 계좌만 등록이 가능하며, 등록 후 정산관련된 금액은 등록된 계좌로만 지급이 가능합니다. </t>
    <phoneticPr fontId="1" type="noConversion"/>
  </si>
  <si>
    <t>* 기획사는 입금계좌가 변경 또는 해지될 경우, 즉시 NHN티켓링크에게 통지하여야 하며 이를 이행하지 아니하여 발생하는 문제에 대해서는 기획사가 모든 책임을 갖습니다.</t>
    <phoneticPr fontId="1" type="noConversion"/>
  </si>
  <si>
    <t>* 기획사는 신고되지 아니한 계좌로 지급을 요청할 수 없으며, 이로 인하여 발생하는 문제에 대해서는 NHN티켓링크를 즉시 면책시키고 기획사가 모든 책임을 갖습니다.</t>
    <phoneticPr fontId="1" type="noConversion"/>
  </si>
  <si>
    <t>우편번호</t>
    <phoneticPr fontId="1" type="noConversion"/>
  </si>
  <si>
    <t>http://www.ticketlink.co.kr 에서 회원가입</t>
    <phoneticPr fontId="1" type="noConversion"/>
  </si>
  <si>
    <t>관리자 페이지 사용자 등록</t>
    <phoneticPr fontId="1" type="noConversion"/>
  </si>
  <si>
    <t>* 기타 자료: 홍보용 공연/아티스트 스틸컷 이미지, 영상, 공연보도자료 (해당 기타 자료는 티켓링크 사이트 및 티켓링크 블로그, 페이스북, 기타 채널 홍보로 쓰여집니다)</t>
    <phoneticPr fontId="1" type="noConversion"/>
  </si>
  <si>
    <t>할인 정보</t>
    <phoneticPr fontId="1" type="noConversion"/>
  </si>
  <si>
    <t>공연 검색어</t>
    <phoneticPr fontId="1" type="noConversion"/>
  </si>
  <si>
    <t>관리자 페이지 URL</t>
    <phoneticPr fontId="1" type="noConversion"/>
  </si>
  <si>
    <t>일괄 배송 일정</t>
    <phoneticPr fontId="1" type="noConversion"/>
  </si>
  <si>
    <t>공연일 14일전까지 가능</t>
    <phoneticPr fontId="1" type="noConversion"/>
  </si>
  <si>
    <t>티켓 판매 마감일</t>
    <phoneticPr fontId="1" type="noConversion"/>
  </si>
  <si>
    <t>티켓 판매 오픈일
(오픈시간 필수)</t>
    <phoneticPr fontId="1" type="noConversion"/>
  </si>
  <si>
    <t>티켓링크 가입 ID</t>
    <phoneticPr fontId="1" type="noConversion"/>
  </si>
  <si>
    <t>* 필수 첨부 서류: 판매대행의뢰서, 사업자등록증, 정산통장사본, 좌석배치도(지정석일 경우 판매좌석 표기), 공연 포스터, 상세페이지, 브릿지페이지(선택사항) 등 이미지</t>
    <phoneticPr fontId="1" type="noConversion"/>
  </si>
  <si>
    <t>개인정보 수집•이용 안내</t>
    <phoneticPr fontId="1" type="noConversion"/>
  </si>
  <si>
    <t>공연입장권 판매대행 업무 처리를 위해 기획사 담당자의 이름, 연락처(전화 또는 휴대폰), 이메일, 정산을 위한 정보(은행, 계좌번호, 예금주), ID를 수집하며 이용목적 달성 및 법령에 따른 보유기간까지 보관됩니다. 
위 내용에 동의를 거부하실 수 있으나 동의 거부시에는 판매대행 신청에 제한이 있을 수 있습니다.</t>
    <phoneticPr fontId="1" type="noConversion"/>
  </si>
  <si>
    <t>정산 유형</t>
    <phoneticPr fontId="1" type="noConversion"/>
  </si>
  <si>
    <t>기타정보</t>
    <phoneticPr fontId="1" type="noConversion"/>
  </si>
  <si>
    <t>기타 수수료</t>
    <phoneticPr fontId="1" type="noConversion"/>
  </si>
  <si>
    <r>
      <t xml:space="preserve">판매대행
수수료
</t>
    </r>
    <r>
      <rPr>
        <b/>
        <sz val="10"/>
        <color rgb="FFFF0000"/>
        <rFont val="맑은 고딕"/>
        <family val="3"/>
        <charset val="129"/>
        <scheme val="minor"/>
      </rPr>
      <t>(VAT별도)</t>
    </r>
    <phoneticPr fontId="1" type="noConversion"/>
  </si>
  <si>
    <t>판매좌석 수</t>
    <phoneticPr fontId="1" type="noConversion"/>
  </si>
  <si>
    <t>원</t>
    <phoneticPr fontId="1" type="noConversion"/>
  </si>
  <si>
    <t>정가</t>
    <phoneticPr fontId="1" type="noConversion"/>
  </si>
  <si>
    <t>석</t>
    <phoneticPr fontId="1" type="noConversion"/>
  </si>
  <si>
    <t>권종</t>
    <phoneticPr fontId="1" type="noConversion"/>
  </si>
  <si>
    <t>이름(기획사명)</t>
    <phoneticPr fontId="1" type="noConversion"/>
  </si>
  <si>
    <t>기획사/현장</t>
    <phoneticPr fontId="1" type="noConversion"/>
  </si>
  <si>
    <t>티켓링크 
대행 수수료</t>
    <phoneticPr fontId="1" type="noConversion"/>
  </si>
  <si>
    <t>현장 현금 수령</t>
    <phoneticPr fontId="1" type="noConversion"/>
  </si>
  <si>
    <t>온라인 판매</t>
    <phoneticPr fontId="1" type="noConversion"/>
  </si>
  <si>
    <t>총판 대행 수수료</t>
    <phoneticPr fontId="1" type="noConversion"/>
  </si>
  <si>
    <t>네이버 연동</t>
    <phoneticPr fontId="1" type="noConversion"/>
  </si>
  <si>
    <t>고객수수료 부과 여부</t>
    <phoneticPr fontId="1" type="noConversion"/>
  </si>
  <si>
    <t>좌석등급</t>
    <phoneticPr fontId="1" type="noConversion"/>
  </si>
  <si>
    <t>%</t>
    <phoneticPr fontId="1" type="noConversion"/>
  </si>
  <si>
    <t>/</t>
    <phoneticPr fontId="1" type="noConversion"/>
  </si>
  <si>
    <t>%</t>
    <phoneticPr fontId="1" type="noConversion"/>
  </si>
  <si>
    <t>/</t>
    <phoneticPr fontId="1" type="noConversion"/>
  </si>
  <si>
    <t>카드:</t>
    <phoneticPr fontId="1" type="noConversion"/>
  </si>
  <si>
    <t>카드:</t>
    <phoneticPr fontId="1" type="noConversion"/>
  </si>
  <si>
    <t>현금:</t>
    <phoneticPr fontId="1" type="noConversion"/>
  </si>
  <si>
    <t>카드:</t>
    <phoneticPr fontId="1" type="noConversion"/>
  </si>
  <si>
    <t xml:space="preserve">   ▣ 후원 : </t>
    <phoneticPr fontId="1" type="noConversion"/>
  </si>
  <si>
    <t>장당 150원 (VAT포함)</t>
    <phoneticPr fontId="1" type="noConversion"/>
  </si>
  <si>
    <t>기획사
기본사항
(계약/정산)</t>
    <phoneticPr fontId="1" type="noConversion"/>
  </si>
  <si>
    <t>문화비 소득공제 
가입 여부</t>
    <phoneticPr fontId="1" type="noConversion"/>
  </si>
  <si>
    <t>주요 사항</t>
    <phoneticPr fontId="1" type="noConversion"/>
  </si>
  <si>
    <t>상품 정보 필수 표기사항
(우측 명칭 수정 불가)</t>
    <phoneticPr fontId="1" type="noConversion"/>
  </si>
  <si>
    <t>티켓 표기사항
(우측 명칭 수정 가능)</t>
    <phoneticPr fontId="1" type="noConversion"/>
  </si>
  <si>
    <t>공연예술통합전산망 정보 제공 여부</t>
    <phoneticPr fontId="1" type="noConversion"/>
  </si>
  <si>
    <t>매수제한</t>
    <phoneticPr fontId="1" type="noConversion"/>
  </si>
  <si>
    <t>기타 정보</t>
    <phoneticPr fontId="1" type="noConversion"/>
  </si>
  <si>
    <t>클린예매
(보안문자)</t>
    <phoneticPr fontId="1" type="noConversion"/>
  </si>
  <si>
    <t>예매페이지
노출 탭</t>
    <phoneticPr fontId="1" type="noConversion"/>
  </si>
  <si>
    <t>잔여석 노출</t>
    <phoneticPr fontId="1" type="noConversion"/>
  </si>
  <si>
    <t>뮤지컬</t>
    <phoneticPr fontId="1" type="noConversion"/>
  </si>
  <si>
    <t>콘서트</t>
    <phoneticPr fontId="1" type="noConversion"/>
  </si>
  <si>
    <t>연극</t>
    <phoneticPr fontId="1" type="noConversion"/>
  </si>
  <si>
    <t>클래식/무용</t>
    <phoneticPr fontId="1" type="noConversion"/>
  </si>
  <si>
    <t>가족&amp;아동</t>
    <phoneticPr fontId="1" type="noConversion"/>
  </si>
  <si>
    <t>전시/축제</t>
    <phoneticPr fontId="1" type="noConversion"/>
  </si>
  <si>
    <t>레저/체험</t>
    <phoneticPr fontId="1" type="noConversion"/>
  </si>
  <si>
    <t>e스포츠/게임</t>
    <phoneticPr fontId="1" type="noConversion"/>
  </si>
  <si>
    <t>부가장르</t>
  </si>
  <si>
    <t>대학로</t>
    <phoneticPr fontId="1" type="noConversion"/>
  </si>
  <si>
    <t>해당없음</t>
    <phoneticPr fontId="1" type="noConversion"/>
  </si>
  <si>
    <t>현장 티켓 판매자 / 배부자 요청</t>
  </si>
  <si>
    <t>공연 기간</t>
    <phoneticPr fontId="1" type="noConversion"/>
  </si>
  <si>
    <t/>
  </si>
  <si>
    <t>%</t>
  </si>
  <si>
    <t>1인  N매</t>
    <phoneticPr fontId="1" type="noConversion"/>
  </si>
  <si>
    <t>검색키워드</t>
    <phoneticPr fontId="1" type="noConversion"/>
  </si>
  <si>
    <t>장르선택</t>
    <phoneticPr fontId="1" type="noConversion"/>
  </si>
  <si>
    <t>주차가능여부</t>
    <phoneticPr fontId="1" type="noConversion"/>
  </si>
  <si>
    <t>주차 비용</t>
    <phoneticPr fontId="1" type="noConversion"/>
  </si>
  <si>
    <t>무통장 입금</t>
    <phoneticPr fontId="1" type="noConversion"/>
  </si>
  <si>
    <t>현장 채널 명</t>
    <phoneticPr fontId="1" type="noConversion"/>
  </si>
  <si>
    <t>상품노출일시</t>
    <phoneticPr fontId="1" type="noConversion"/>
  </si>
  <si>
    <t>선발권 / 초대권 / 교환권</t>
    <phoneticPr fontId="1" type="noConversion"/>
  </si>
  <si>
    <t xml:space="preserve">일시: </t>
    <phoneticPr fontId="1" type="noConversion"/>
  </si>
  <si>
    <t/>
  </si>
  <si>
    <t xml:space="preserve">  공연명(영문): </t>
    <phoneticPr fontId="1" type="noConversion"/>
  </si>
  <si>
    <t xml:space="preserve">  공연장명(영문): </t>
    <phoneticPr fontId="1" type="noConversion"/>
  </si>
  <si>
    <t xml:space="preserve">  권종명(영문): </t>
    <phoneticPr fontId="1" type="noConversion"/>
  </si>
  <si>
    <t>가능 시 주차비 상세기재</t>
    <phoneticPr fontId="1" type="noConversion"/>
  </si>
  <si>
    <t>공연 시간</t>
    <phoneticPr fontId="1" type="noConversion"/>
  </si>
  <si>
    <t>공연 장소명 (+주소)</t>
    <phoneticPr fontId="1" type="noConversion"/>
  </si>
  <si>
    <t>장르</t>
    <phoneticPr fontId="1" type="noConversion"/>
  </si>
  <si>
    <t>유료회원 할인</t>
    <phoneticPr fontId="1" type="noConversion"/>
  </si>
  <si>
    <t>페이코 VIP</t>
    <phoneticPr fontId="1" type="noConversion"/>
  </si>
  <si>
    <t xml:space="preserve">인력 요청 : 공연일 1주일 전 / 장비 설치 요청 : 공연일 2주전
양식 내 5번 시트 세부사항 기재 必 </t>
    <phoneticPr fontId="1" type="noConversion"/>
  </si>
  <si>
    <r>
      <t xml:space="preserve">티켓링크 선오픈
</t>
    </r>
    <r>
      <rPr>
        <sz val="9"/>
        <rFont val="맑은 고딕"/>
        <family val="3"/>
        <charset val="129"/>
        <scheme val="minor"/>
      </rPr>
      <t>(오픈시간 기재)</t>
    </r>
    <phoneticPr fontId="1" type="noConversion"/>
  </si>
  <si>
    <r>
      <t xml:space="preserve">일반 오픈
</t>
    </r>
    <r>
      <rPr>
        <sz val="9"/>
        <rFont val="맑은 고딕"/>
        <family val="3"/>
        <charset val="129"/>
        <scheme val="minor"/>
      </rPr>
      <t>(오픈시간 기재)</t>
    </r>
    <phoneticPr fontId="1" type="noConversion"/>
  </si>
  <si>
    <t>티켓오픈 일정</t>
    <phoneticPr fontId="1" type="noConversion"/>
  </si>
  <si>
    <t>공지사항 노출 일정</t>
    <phoneticPr fontId="1" type="noConversion"/>
  </si>
  <si>
    <t/>
  </si>
  <si>
    <t>영문 예매 페이지
사용 시</t>
    <phoneticPr fontId="1" type="noConversion"/>
  </si>
  <si>
    <t>무통장 입금 사용 시 
기간 설정</t>
    <phoneticPr fontId="1" type="noConversion"/>
  </si>
  <si>
    <t>글로벌 예매 페이지
(영/중/일)</t>
    <phoneticPr fontId="1" type="noConversion"/>
  </si>
  <si>
    <t/>
  </si>
  <si>
    <t/>
  </si>
  <si>
    <t/>
  </si>
  <si>
    <t/>
  </si>
  <si>
    <t>GS칼텍스 예울마루 대극장</t>
    <phoneticPr fontId="1" type="noConversion"/>
  </si>
  <si>
    <t/>
  </si>
  <si>
    <t/>
  </si>
  <si>
    <t/>
  </si>
  <si>
    <t/>
  </si>
  <si>
    <t/>
  </si>
  <si>
    <t/>
  </si>
  <si>
    <t/>
  </si>
  <si>
    <t/>
  </si>
  <si>
    <t/>
  </si>
  <si>
    <t xml:space="preserve">   ▣ 주최/기획: GS칼텍스 예울마루/GS칼텍스 예울마루</t>
    <phoneticPr fontId="1" type="noConversion"/>
  </si>
  <si>
    <t xml:space="preserve">   ▣ 고객문의 : 1544-7669(GS칼텍스 예울마루 대표전화)</t>
    <phoneticPr fontId="1" type="noConversion"/>
  </si>
  <si>
    <t/>
  </si>
  <si>
    <t xml:space="preserve">   ▣ 주최 : GS칼텍스 예울마루</t>
    <phoneticPr fontId="1" type="noConversion"/>
  </si>
  <si>
    <t xml:space="preserve">   ▣ 주관 : GS칼텍스 예울마루</t>
    <phoneticPr fontId="1" type="noConversion"/>
  </si>
  <si>
    <t xml:space="preserve">   ▣ 문의 : 1544-7669</t>
    <phoneticPr fontId="1" type="noConversion"/>
  </si>
  <si>
    <t>GS칼텍스 예울마루</t>
    <phoneticPr fontId="1" type="noConversion"/>
  </si>
  <si>
    <t>박필규</t>
    <phoneticPr fontId="1" type="noConversion"/>
  </si>
  <si>
    <t>417-82-06101</t>
    <phoneticPr fontId="1" type="noConversion"/>
  </si>
  <si>
    <t>박은필</t>
    <phoneticPr fontId="1" type="noConversion"/>
  </si>
  <si>
    <t>강명희</t>
    <phoneticPr fontId="1" type="noConversion"/>
  </si>
  <si>
    <t/>
  </si>
  <si>
    <t/>
  </si>
  <si>
    <t/>
  </si>
  <si>
    <t/>
  </si>
  <si>
    <t>우리은행</t>
    <phoneticPr fontId="1" type="noConversion"/>
  </si>
  <si>
    <t>기 계약 내용에 따름</t>
    <phoneticPr fontId="1" type="noConversion"/>
  </si>
  <si>
    <t>전남 여수시 예울마루로 100</t>
    <phoneticPr fontId="1" type="noConversion"/>
  </si>
  <si>
    <t>계약 내용에 따름</t>
    <phoneticPr fontId="1" type="noConversion"/>
  </si>
  <si>
    <t/>
  </si>
  <si>
    <t/>
  </si>
  <si>
    <t/>
  </si>
  <si>
    <t/>
  </si>
  <si>
    <t/>
  </si>
  <si>
    <t/>
  </si>
  <si>
    <t>공연 포스터</t>
  </si>
  <si>
    <t>대표 이미지</t>
  </si>
  <si>
    <t>모바일 티켓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</si>
  <si>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</si>
  <si>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</si>
  <si>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</si>
  <si>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</si>
  <si>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</si>
  <si>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</si>
  <si>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</si>
  <si>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</si>
  <si>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</si>
  <si>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</si>
  <si>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</si>
  <si>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</si>
  <si>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</si>
  <si>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</si>
  <si>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이미지 사이즈 표</t>
  </si>
  <si>
    <t>구분</t>
  </si>
  <si>
    <t>항목</t>
  </si>
  <si>
    <t>파일형식</t>
  </si>
  <si>
    <t>비고</t>
  </si>
  <si>
    <t>1. 편집 파일</t>
  </si>
  <si>
    <t>배너 편집 원본</t>
  </si>
  <si>
    <t>PSD 또는 AI</t>
  </si>
  <si>
    <t>배너 제작용 편집 가능 파일 / 영업일 기준 오픈 3일 전 전달</t>
  </si>
  <si>
    <t>2. 이미지 파일</t>
  </si>
  <si>
    <t>JPG</t>
  </si>
  <si>
    <t>포스터 내 전화번호(티켓링크 고객센터 번호 포함) 노출 불가</t>
  </si>
  <si>
    <t>예매 페이지 상단 좌측 (1MB 이하)</t>
  </si>
  <si>
    <t>공연 상세페이지 (네이버 연동 공용)</t>
  </si>
  <si>
    <t>세로 제한 없음 (1MB 이하)</t>
  </si>
  <si>
    <t>브릿지 페이지</t>
  </si>
  <si>
    <t>오픈공지 이미지</t>
  </si>
  <si>
    <t>3. 티켓 이미지 (Optional)</t>
  </si>
  <si>
    <t>스마트 티켓 1</t>
  </si>
  <si>
    <t>스마트 티켓 2</t>
  </si>
  <si>
    <t/>
  </si>
  <si>
    <t/>
  </si>
  <si>
    <t/>
  </si>
  <si>
    <t/>
  </si>
  <si>
    <t>다운로드</t>
  </si>
  <si>
    <t/>
  </si>
  <si>
    <t/>
  </si>
  <si>
    <t/>
  </si>
  <si>
    <t/>
  </si>
  <si>
    <t>네이버 연동 1 (대표 이미지 1)</t>
    <phoneticPr fontId="1" type="noConversion"/>
  </si>
  <si>
    <t>네이버 연동 2 (대표 이미지 2)</t>
    <phoneticPr fontId="1" type="noConversion"/>
  </si>
  <si>
    <t/>
  </si>
  <si>
    <t/>
  </si>
  <si>
    <t/>
  </si>
  <si>
    <t/>
  </si>
  <si>
    <t>사이즈(가로) px</t>
    <phoneticPr fontId="1" type="noConversion"/>
  </si>
  <si>
    <t>N</t>
    <phoneticPr fontId="1" type="noConversion"/>
  </si>
  <si>
    <t/>
  </si>
  <si>
    <t>더블클릭 → 파일 선택 → 자동 첨부(폴더 복사+링크)</t>
  </si>
  <si>
    <t/>
  </si>
  <si>
    <t/>
  </si>
  <si>
    <t/>
  </si>
  <si>
    <t/>
  </si>
  <si>
    <t>티켓 가격</t>
    <phoneticPr fontId="1" type="noConversion"/>
  </si>
  <si>
    <t>공연 장소</t>
    <phoneticPr fontId="1" type="noConversion"/>
  </si>
  <si>
    <t>기간</t>
    <phoneticPr fontId="1" type="noConversion"/>
  </si>
  <si>
    <t>공연</t>
  </si>
  <si>
    <t>전시</t>
  </si>
  <si>
    <t>예술교육</t>
  </si>
  <si>
    <t>GS칼텍스 예울마루 소극장</t>
  </si>
  <si>
    <t>GS칼텍스 예울마루 7층 전시실</t>
  </si>
  <si>
    <t>GS칼텍스 예울마루 장도 전시실</t>
  </si>
  <si>
    <t>─ 구분 목록</t>
  </si>
  <si>
    <t>장소(공연)</t>
  </si>
  <si>
    <t>장소(전시)</t>
  </si>
  <si>
    <t>장소(예술교육)</t>
  </si>
  <si>
    <t/>
  </si>
  <si>
    <t/>
  </si>
  <si>
    <t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</si>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</sst>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8" formatCode="0_);[Red]\(0\)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9"/>
      <color indexed="81"/>
      <name val="나눔고딕"/>
      <family val="3"/>
      <charset val="129"/>
    </font>
    <font>
      <sz val="9"/>
      <color indexed="81"/>
      <name val="나눔고딕"/>
      <family val="3"/>
      <charset val="129"/>
    </font>
    <font>
      <b/>
      <sz val="8"/>
      <color theme="0" tint="-0.34998626667073579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i/>
      <u/>
      <sz val="9"/>
      <color rgb="FF80808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DD9C4"/>
        <bgColor indexed="64"/>
      </patternFill>
    </fill>
  </fills>
  <borders count="4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 style="medium">
        <color theme="1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</borders>
  <cellStyleXfs count="3">
    <xf numFmtId="0" fontId="0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301">
    <xf numFmtId="0" fontId="0" fillId="0" borderId="0" xfId="0">
      <alignment vertical="center"/>
    </xf>
    <xf numFmtId="0" fontId="3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3" borderId="14" xfId="0" applyFont="1" applyFill="1" applyBorder="1" applyAlignment="1">
      <alignment vertical="center" shrinkToFit="1"/>
    </xf>
    <xf numFmtId="0" fontId="10" fillId="3" borderId="22" xfId="0" applyFont="1" applyFill="1" applyBorder="1" applyAlignment="1">
      <alignment vertical="center" shrinkToFit="1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10" fillId="3" borderId="14" xfId="0" applyFont="1" applyFill="1" applyBorder="1" applyAlignment="1">
      <alignment vertical="center" wrapText="1"/>
    </xf>
    <xf numFmtId="0" fontId="10" fillId="3" borderId="22" xfId="0" applyFont="1" applyFill="1" applyBorder="1" applyAlignment="1">
      <alignment vertical="center" wrapText="1"/>
    </xf>
    <xf numFmtId="0" fontId="7" fillId="0" borderId="0" xfId="0" applyFont="1">
      <alignment vertical="center"/>
    </xf>
    <xf numFmtId="0" fontId="5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10" fillId="2" borderId="0" xfId="0" applyFont="1" applyFill="1" applyAlignment="1">
      <alignment vertical="center" shrinkToFit="1"/>
    </xf>
    <xf numFmtId="0" fontId="12" fillId="0" borderId="0" xfId="0" applyFont="1" applyAlignment="1">
      <alignment horizontal="left" vertical="center" wrapText="1"/>
    </xf>
    <xf numFmtId="0" fontId="10" fillId="3" borderId="14" xfId="0" applyFont="1" applyFill="1" applyBorder="1" applyAlignment="1">
      <alignment horizontal="right" vertical="center" shrinkToFit="1"/>
    </xf>
    <xf numFmtId="0" fontId="4" fillId="0" borderId="5" xfId="0" applyFont="1" applyBorder="1">
      <alignment vertical="center"/>
    </xf>
    <xf numFmtId="0" fontId="5" fillId="3" borderId="14" xfId="0" applyFont="1" applyFill="1" applyBorder="1" applyAlignment="1">
      <alignment horizontal="left" vertical="center" shrinkToFit="1"/>
    </xf>
    <xf numFmtId="0" fontId="10" fillId="0" borderId="6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center" vertical="center" shrinkToFit="1"/>
    </xf>
    <xf numFmtId="0" fontId="10" fillId="0" borderId="22" xfId="0" applyFont="1" applyBorder="1" applyAlignment="1">
      <alignment horizontal="center" vertical="center" shrinkToFit="1"/>
    </xf>
    <xf numFmtId="0" fontId="3" fillId="0" borderId="0" xfId="0" quotePrefix="1" applyFont="1">
      <alignment vertical="center"/>
    </xf>
    <xf numFmtId="41" fontId="10" fillId="0" borderId="7" xfId="1" applyFont="1" applyBorder="1" applyAlignment="1">
      <alignment vertical="center" wrapText="1"/>
    </xf>
    <xf numFmtId="0" fontId="10" fillId="2" borderId="7" xfId="0" applyFont="1" applyFill="1" applyBorder="1" applyAlignment="1">
      <alignment vertical="center" wrapText="1"/>
    </xf>
    <xf numFmtId="0" fontId="10" fillId="0" borderId="14" xfId="0" applyFont="1" applyBorder="1" applyAlignment="1">
      <alignment vertical="center" shrinkToFit="1"/>
    </xf>
    <xf numFmtId="0" fontId="10" fillId="0" borderId="7" xfId="0" applyFont="1" applyBorder="1" applyAlignment="1">
      <alignment vertical="center" shrinkToFit="1"/>
    </xf>
    <xf numFmtId="0" fontId="10" fillId="0" borderId="6" xfId="0" applyFont="1" applyBorder="1" applyAlignment="1">
      <alignment horizontal="right" vertical="center" shrinkToFit="1"/>
    </xf>
    <xf numFmtId="0" fontId="5" fillId="0" borderId="6" xfId="0" applyFont="1" applyBorder="1" applyAlignment="1">
      <alignment horizontal="center" vertical="center" shrinkToFit="1"/>
    </xf>
    <xf numFmtId="0" fontId="10" fillId="2" borderId="6" xfId="0" applyFont="1" applyFill="1" applyBorder="1" applyAlignment="1">
      <alignment horizontal="right" vertical="center" shrinkToFit="1"/>
    </xf>
    <xf numFmtId="0" fontId="10" fillId="2" borderId="14" xfId="0" applyFont="1" applyFill="1" applyBorder="1" applyAlignment="1">
      <alignment horizontal="center" vertical="center" shrinkToFit="1"/>
    </xf>
    <xf numFmtId="0" fontId="10" fillId="2" borderId="14" xfId="0" applyFont="1" applyFill="1" applyBorder="1" applyAlignment="1">
      <alignment horizontal="left" vertical="center" shrinkToFit="1"/>
    </xf>
    <xf numFmtId="0" fontId="10" fillId="2" borderId="7" xfId="0" applyFont="1" applyFill="1" applyBorder="1" applyAlignment="1">
      <alignment horizontal="left" vertical="center" shrinkToFit="1"/>
    </xf>
    <xf numFmtId="0" fontId="4" fillId="2" borderId="0" xfId="0" applyFont="1" applyFill="1" applyAlignment="1">
      <alignment horizontal="center" vertical="center" wrapText="1"/>
    </xf>
    <xf numFmtId="0" fontId="20" fillId="0" borderId="0" xfId="0" applyFont="1">
      <alignment vertical="center"/>
    </xf>
    <xf numFmtId="0" fontId="10" fillId="3" borderId="6" xfId="0" applyFont="1" applyFill="1" applyBorder="1" applyAlignment="1">
      <alignment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14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16" xfId="2" applyFont="1" applyFill="1" applyBorder="1" applyAlignment="1">
      <alignment horizontal="center" vertical="center" wrapText="1"/>
    </xf>
    <xf numFmtId="0" fontId="5" fillId="3" borderId="5" xfId="2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 wrapText="1" shrinkToFit="1"/>
    </xf>
    <xf numFmtId="0" fontId="19" fillId="0" borderId="7" xfId="0" applyFont="1" applyBorder="1" applyAlignment="1">
      <alignment horizontal="left" vertical="center" wrapText="1" shrinkToFit="1"/>
    </xf>
    <xf numFmtId="176" fontId="10" fillId="0" borderId="6" xfId="0" applyNumberFormat="1" applyFont="1" applyBorder="1" applyAlignment="1">
      <alignment horizontal="center" vertical="center" shrinkToFit="1"/>
    </xf>
    <xf numFmtId="176" fontId="10" fillId="0" borderId="14" xfId="0" applyNumberFormat="1" applyFont="1" applyBorder="1" applyAlignment="1">
      <alignment horizontal="center" vertical="center" shrinkToFit="1"/>
    </xf>
    <xf numFmtId="0" fontId="10" fillId="2" borderId="6" xfId="0" applyFont="1" applyFill="1" applyBorder="1" applyAlignment="1">
      <alignment horizontal="right" vertical="center" wrapText="1"/>
    </xf>
    <xf numFmtId="0" fontId="10" fillId="2" borderId="14" xfId="0" applyFont="1" applyFill="1" applyBorder="1" applyAlignment="1">
      <alignment horizontal="right" vertical="center" wrapText="1"/>
    </xf>
    <xf numFmtId="0" fontId="5" fillId="3" borderId="41" xfId="2" applyFont="1" applyFill="1" applyBorder="1" applyAlignment="1">
      <alignment horizontal="center" vertical="center" wrapText="1"/>
    </xf>
    <xf numFmtId="0" fontId="5" fillId="3" borderId="33" xfId="2" applyFont="1" applyFill="1" applyBorder="1" applyAlignment="1">
      <alignment horizontal="center" vertical="center" wrapText="1"/>
    </xf>
    <xf numFmtId="0" fontId="5" fillId="3" borderId="34" xfId="2" applyFont="1" applyFill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14" fillId="3" borderId="26" xfId="0" applyFont="1" applyFill="1" applyBorder="1" applyAlignment="1">
      <alignment horizontal="left" vertical="center" wrapText="1" shrinkToFit="1"/>
    </xf>
    <xf numFmtId="0" fontId="14" fillId="3" borderId="27" xfId="0" applyFont="1" applyFill="1" applyBorder="1" applyAlignment="1">
      <alignment horizontal="left" vertical="center" shrinkToFit="1"/>
    </xf>
    <xf numFmtId="0" fontId="14" fillId="3" borderId="28" xfId="0" applyFont="1" applyFill="1" applyBorder="1" applyAlignment="1">
      <alignment horizontal="left" vertical="center" shrinkToFit="1"/>
    </xf>
    <xf numFmtId="0" fontId="10" fillId="3" borderId="26" xfId="0" applyFont="1" applyFill="1" applyBorder="1" applyAlignment="1">
      <alignment horizontal="center" vertical="center" shrinkToFit="1"/>
    </xf>
    <xf numFmtId="0" fontId="10" fillId="3" borderId="27" xfId="0" applyFont="1" applyFill="1" applyBorder="1" applyAlignment="1">
      <alignment horizontal="center" vertical="center" shrinkToFit="1"/>
    </xf>
    <xf numFmtId="0" fontId="10" fillId="3" borderId="29" xfId="0" applyFont="1" applyFill="1" applyBorder="1" applyAlignment="1">
      <alignment horizontal="center" vertical="center" shrinkToFit="1"/>
    </xf>
    <xf numFmtId="0" fontId="10" fillId="3" borderId="6" xfId="0" applyFont="1" applyFill="1" applyBorder="1" applyAlignment="1">
      <alignment horizontal="center" vertical="center" shrinkToFit="1"/>
    </xf>
    <xf numFmtId="0" fontId="10" fillId="3" borderId="14" xfId="0" applyFont="1" applyFill="1" applyBorder="1" applyAlignment="1">
      <alignment horizontal="center" vertical="center" shrinkToFit="1"/>
    </xf>
    <xf numFmtId="0" fontId="10" fillId="3" borderId="22" xfId="0" applyFont="1" applyFill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center" vertical="center" shrinkToFit="1"/>
    </xf>
    <xf numFmtId="0" fontId="10" fillId="0" borderId="22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wrapText="1" shrinkToFit="1"/>
    </xf>
    <xf numFmtId="0" fontId="10" fillId="0" borderId="7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right" vertical="center" shrinkToFit="1"/>
    </xf>
    <xf numFmtId="0" fontId="10" fillId="2" borderId="14" xfId="0" applyFont="1" applyFill="1" applyBorder="1" applyAlignment="1">
      <alignment horizontal="right" vertical="center" shrinkToFit="1"/>
    </xf>
    <xf numFmtId="0" fontId="11" fillId="2" borderId="6" xfId="0" applyFont="1" applyFill="1" applyBorder="1" applyAlignment="1">
      <alignment horizontal="center" vertical="center" shrinkToFit="1"/>
    </xf>
    <xf numFmtId="0" fontId="11" fillId="2" borderId="14" xfId="0" applyFont="1" applyFill="1" applyBorder="1" applyAlignment="1">
      <alignment horizontal="center" vertical="center" shrinkToFit="1"/>
    </xf>
    <xf numFmtId="0" fontId="11" fillId="2" borderId="22" xfId="0" applyFont="1" applyFill="1" applyBorder="1" applyAlignment="1">
      <alignment horizontal="center" vertical="center" shrinkToFit="1"/>
    </xf>
    <xf numFmtId="0" fontId="10" fillId="2" borderId="6" xfId="0" applyFont="1" applyFill="1" applyBorder="1" applyAlignment="1">
      <alignment horizontal="right" vertical="center" shrinkToFit="1"/>
    </xf>
    <xf numFmtId="0" fontId="10" fillId="2" borderId="7" xfId="0" applyFont="1" applyFill="1" applyBorder="1" applyAlignment="1">
      <alignment horizontal="right" vertical="center" shrinkToFit="1"/>
    </xf>
    <xf numFmtId="0" fontId="14" fillId="2" borderId="6" xfId="0" applyFont="1" applyFill="1" applyBorder="1" applyAlignment="1">
      <alignment horizontal="left" vertical="center" wrapText="1" shrinkToFit="1"/>
    </xf>
    <xf numFmtId="0" fontId="14" fillId="2" borderId="14" xfId="0" applyFont="1" applyFill="1" applyBorder="1" applyAlignment="1">
      <alignment horizontal="left" vertical="center" shrinkToFit="1"/>
    </xf>
    <xf numFmtId="0" fontId="14" fillId="2" borderId="22" xfId="0" applyFont="1" applyFill="1" applyBorder="1" applyAlignment="1">
      <alignment horizontal="left" vertical="center" shrinkToFit="1"/>
    </xf>
    <xf numFmtId="0" fontId="10" fillId="2" borderId="22" xfId="0" applyFont="1" applyFill="1" applyBorder="1" applyAlignment="1">
      <alignment horizontal="right" vertical="center" shrinkToFit="1"/>
    </xf>
    <xf numFmtId="0" fontId="7" fillId="0" borderId="0" xfId="0" applyFont="1" applyAlignment="1">
      <alignment horizontal="left" vertical="center" wrapText="1"/>
    </xf>
    <xf numFmtId="0" fontId="10" fillId="3" borderId="7" xfId="0" applyFont="1" applyFill="1" applyBorder="1" applyAlignment="1">
      <alignment horizontal="center" vertical="center" shrinkToFit="1"/>
    </xf>
    <xf numFmtId="0" fontId="21" fillId="3" borderId="8" xfId="2" applyFill="1" applyBorder="1" applyAlignment="1">
      <alignment horizontal="center" vertical="center" shrinkToFit="1"/>
    </xf>
    <xf numFmtId="0" fontId="10" fillId="3" borderId="15" xfId="0" applyFont="1" applyFill="1" applyBorder="1" applyAlignment="1">
      <alignment horizontal="center" vertical="center" shrinkToFit="1"/>
    </xf>
    <xf numFmtId="0" fontId="10" fillId="3" borderId="9" xfId="0" applyFont="1" applyFill="1" applyBorder="1" applyAlignment="1">
      <alignment horizontal="center" vertical="center" shrinkToFit="1"/>
    </xf>
    <xf numFmtId="0" fontId="10" fillId="3" borderId="8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 shrinkToFit="1"/>
    </xf>
    <xf numFmtId="0" fontId="5" fillId="3" borderId="15" xfId="0" applyFont="1" applyFill="1" applyBorder="1" applyAlignment="1">
      <alignment horizontal="center" vertical="center" shrinkToFit="1"/>
    </xf>
    <xf numFmtId="0" fontId="5" fillId="3" borderId="9" xfId="0" applyFont="1" applyFill="1" applyBorder="1" applyAlignment="1">
      <alignment horizontal="center" vertical="center" shrinkToFit="1"/>
    </xf>
    <xf numFmtId="0" fontId="5" fillId="3" borderId="6" xfId="0" applyFont="1" applyFill="1" applyBorder="1" applyAlignment="1">
      <alignment horizontal="center" vertical="center" shrinkToFit="1"/>
    </xf>
    <xf numFmtId="0" fontId="5" fillId="3" borderId="14" xfId="0" applyFont="1" applyFill="1" applyBorder="1" applyAlignment="1">
      <alignment horizontal="center" vertical="center" shrinkToFit="1"/>
    </xf>
    <xf numFmtId="0" fontId="5" fillId="3" borderId="7" xfId="0" applyFont="1" applyFill="1" applyBorder="1" applyAlignment="1">
      <alignment horizontal="center" vertical="center" shrinkToFit="1"/>
    </xf>
    <xf numFmtId="0" fontId="5" fillId="0" borderId="20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shrinkToFit="1"/>
    </xf>
    <xf numFmtId="0" fontId="10" fillId="2" borderId="5" xfId="0" applyFont="1" applyFill="1" applyBorder="1" applyAlignment="1">
      <alignment horizontal="center" vertical="center" shrinkToFit="1"/>
    </xf>
    <xf numFmtId="0" fontId="10" fillId="2" borderId="17" xfId="0" applyFont="1" applyFill="1" applyBorder="1" applyAlignment="1">
      <alignment horizontal="center" vertical="center" shrinkToFit="1"/>
    </xf>
    <xf numFmtId="0" fontId="5" fillId="3" borderId="18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shrinkToFit="1"/>
    </xf>
    <xf numFmtId="0" fontId="5" fillId="2" borderId="12" xfId="0" applyFont="1" applyFill="1" applyBorder="1" applyAlignment="1">
      <alignment horizontal="center" vertical="center" shrinkToFit="1"/>
    </xf>
    <xf numFmtId="0" fontId="5" fillId="2" borderId="15" xfId="0" applyFont="1" applyFill="1" applyBorder="1" applyAlignment="1">
      <alignment horizontal="center" vertical="center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3" borderId="8" xfId="2" applyFont="1" applyFill="1" applyBorder="1" applyAlignment="1">
      <alignment horizontal="center" vertical="center" wrapText="1"/>
    </xf>
    <xf numFmtId="0" fontId="5" fillId="3" borderId="15" xfId="2" applyFont="1" applyFill="1" applyBorder="1" applyAlignment="1">
      <alignment horizontal="center" vertical="center" wrapText="1"/>
    </xf>
    <xf numFmtId="0" fontId="5" fillId="3" borderId="9" xfId="2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0" fontId="11" fillId="3" borderId="14" xfId="0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41" fontId="10" fillId="0" borderId="6" xfId="1" applyFont="1" applyBorder="1" applyAlignment="1">
      <alignment horizontal="center" vertical="center" wrapText="1"/>
    </xf>
    <xf numFmtId="41" fontId="10" fillId="0" borderId="14" xfId="1" applyFont="1" applyBorder="1" applyAlignment="1">
      <alignment horizontal="center" vertical="center" wrapText="1"/>
    </xf>
    <xf numFmtId="41" fontId="10" fillId="0" borderId="22" xfId="1" applyFont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10" fillId="3" borderId="22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41" fontId="10" fillId="0" borderId="7" xfId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right" vertical="center" wrapText="1"/>
    </xf>
    <xf numFmtId="0" fontId="10" fillId="0" borderId="14" xfId="0" applyFont="1" applyBorder="1" applyAlignment="1">
      <alignment horizontal="right" vertical="center" wrapText="1"/>
    </xf>
    <xf numFmtId="0" fontId="10" fillId="0" borderId="7" xfId="0" applyFont="1" applyBorder="1" applyAlignment="1">
      <alignment horizontal="right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shrinkToFit="1"/>
    </xf>
    <xf numFmtId="0" fontId="5" fillId="3" borderId="19" xfId="0" applyFont="1" applyFill="1" applyBorder="1" applyAlignment="1">
      <alignment horizontal="center" vertical="center" shrinkToFit="1"/>
    </xf>
    <xf numFmtId="0" fontId="5" fillId="3" borderId="21" xfId="0" applyFont="1" applyFill="1" applyBorder="1" applyAlignment="1">
      <alignment horizontal="center" vertical="center" shrinkToFit="1"/>
    </xf>
    <xf numFmtId="0" fontId="5" fillId="3" borderId="6" xfId="0" applyFont="1" applyFill="1" applyBorder="1" applyAlignment="1">
      <alignment horizontal="right" vertical="center" wrapText="1"/>
    </xf>
    <xf numFmtId="0" fontId="5" fillId="3" borderId="14" xfId="0" applyFont="1" applyFill="1" applyBorder="1" applyAlignment="1">
      <alignment horizontal="right" vertical="center" wrapText="1"/>
    </xf>
    <xf numFmtId="0" fontId="5" fillId="3" borderId="14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5" fillId="3" borderId="13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14" xfId="0" applyFont="1" applyFill="1" applyBorder="1" applyAlignment="1">
      <alignment horizontal="left" vertical="top" wrapText="1"/>
    </xf>
    <xf numFmtId="0" fontId="10" fillId="3" borderId="22" xfId="0" applyFont="1" applyFill="1" applyBorder="1" applyAlignment="1">
      <alignment horizontal="left" vertical="top" wrapText="1"/>
    </xf>
    <xf numFmtId="0" fontId="10" fillId="3" borderId="14" xfId="0" applyFont="1" applyFill="1" applyBorder="1" applyAlignment="1">
      <alignment horizontal="right" vertical="center" shrinkToFit="1"/>
    </xf>
    <xf numFmtId="0" fontId="10" fillId="3" borderId="7" xfId="0" applyFont="1" applyFill="1" applyBorder="1" applyAlignment="1">
      <alignment horizontal="center" vertical="center" wrapText="1"/>
    </xf>
    <xf numFmtId="20" fontId="10" fillId="3" borderId="6" xfId="0" applyNumberFormat="1" applyFont="1" applyFill="1" applyBorder="1" applyAlignment="1">
      <alignment horizontal="center" vertical="center" wrapText="1"/>
    </xf>
    <xf numFmtId="0" fontId="21" fillId="0" borderId="6" xfId="2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shrinkToFit="1"/>
    </xf>
    <xf numFmtId="0" fontId="10" fillId="0" borderId="37" xfId="0" applyFont="1" applyBorder="1" applyAlignment="1">
      <alignment horizontal="center" vertical="center" shrinkToFit="1"/>
    </xf>
    <xf numFmtId="0" fontId="10" fillId="0" borderId="38" xfId="0" applyFont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shrinkToFit="1"/>
    </xf>
    <xf numFmtId="0" fontId="5" fillId="0" borderId="3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0" fontId="10" fillId="0" borderId="39" xfId="0" applyFont="1" applyBorder="1" applyAlignment="1">
      <alignment horizontal="center" vertical="center" shrinkToFit="1"/>
    </xf>
    <xf numFmtId="0" fontId="5" fillId="3" borderId="22" xfId="0" applyFont="1" applyFill="1" applyBorder="1" applyAlignment="1">
      <alignment horizontal="center" vertical="center" wrapText="1"/>
    </xf>
    <xf numFmtId="0" fontId="21" fillId="0" borderId="14" xfId="2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shrinkToFit="1"/>
    </xf>
    <xf numFmtId="0" fontId="10" fillId="0" borderId="33" xfId="0" applyFont="1" applyBorder="1" applyAlignment="1">
      <alignment horizontal="center" vertical="center" shrinkToFit="1"/>
    </xf>
    <xf numFmtId="0" fontId="10" fillId="0" borderId="34" xfId="0" applyFont="1" applyBorder="1" applyAlignment="1">
      <alignment horizontal="center" vertical="center" shrinkToFit="1"/>
    </xf>
    <xf numFmtId="0" fontId="14" fillId="0" borderId="14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5" fillId="3" borderId="6" xfId="0" applyFont="1" applyFill="1" applyBorder="1" applyAlignment="1">
      <alignment horizontal="left" vertical="center" wrapText="1"/>
    </xf>
    <xf numFmtId="0" fontId="5" fillId="3" borderId="14" xfId="0" applyFont="1" applyFill="1" applyBorder="1" applyAlignment="1">
      <alignment horizontal="left" vertical="center" wrapText="1"/>
    </xf>
    <xf numFmtId="0" fontId="5" fillId="3" borderId="22" xfId="0" applyFont="1" applyFill="1" applyBorder="1" applyAlignment="1">
      <alignment horizontal="left" vertical="center" wrapText="1"/>
    </xf>
    <xf numFmtId="0" fontId="5" fillId="3" borderId="7" xfId="0" applyFont="1" applyFill="1" applyBorder="1" applyAlignment="1">
      <alignment horizontal="left" vertical="center" wrapText="1"/>
    </xf>
    <xf numFmtId="0" fontId="2" fillId="0" borderId="2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10" fillId="3" borderId="14" xfId="0" applyFont="1" applyFill="1" applyBorder="1" applyAlignment="1">
      <alignment horizontal="left" vertical="center" wrapText="1"/>
    </xf>
    <xf numFmtId="0" fontId="10" fillId="3" borderId="22" xfId="0" applyFont="1" applyFill="1" applyBorder="1" applyAlignment="1">
      <alignment horizontal="left" vertical="center" wrapText="1"/>
    </xf>
    <xf numFmtId="0" fontId="10" fillId="3" borderId="6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10" fillId="3" borderId="12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24" fillId="3" borderId="15" xfId="0" applyFont="1" applyFill="1" applyBorder="1" applyAlignment="1">
      <alignment horizontal="center" vertical="center" wrapText="1"/>
    </xf>
    <xf numFmtId="0" fontId="24" fillId="3" borderId="21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25" fillId="0" borderId="0" xfId="0" applyFont="1">
      <alignment vertical="center"/>
    </xf>
    <xf numFmtId="14" fontId="0" fillId="0" borderId="0" xfId="0" applyNumberFormat="1">
      <alignment vertical="center"/>
    </xf>
    <xf numFmtId="0" fontId="26" fillId="0" borderId="0" xfId="0" applyFont="1" applyAlignment="1">
      <alignment horizontal="center" vertical="center"/>
    </xf>
    <xf numFmtId="0" fontId="7" fillId="0" borderId="42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left" vertical="center" wrapText="1"/>
    </xf>
    <xf numFmtId="0" fontId="27" fillId="0" borderId="42" xfId="0" applyFont="1" applyBorder="1" applyAlignment="1">
      <alignment horizontal="center" vertical="center" wrapText="1"/>
    </xf>
    <xf numFmtId="0" fontId="27" fillId="5" borderId="44" xfId="0" applyFont="1" applyFill="1" applyBorder="1" applyAlignment="1">
      <alignment horizontal="center" vertical="center"/>
    </xf>
    <xf numFmtId="0" fontId="27" fillId="0" borderId="45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left" vertical="center" wrapText="1"/>
    </xf>
    <xf numFmtId="0" fontId="7" fillId="0" borderId="45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left" vertical="center" wrapText="1"/>
    </xf>
    <xf numFmtId="0" fontId="7" fillId="0" borderId="44" xfId="0" applyFont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center" wrapText="1"/>
    </xf>
    <xf numFmtId="0" fontId="7" fillId="0" borderId="46" xfId="0" applyFont="1" applyBorder="1" applyAlignment="1">
      <alignment horizontal="center" vertical="center" wrapText="1"/>
    </xf>
    <xf numFmtId="0" fontId="27" fillId="0" borderId="47" xfId="0" applyFont="1" applyBorder="1" applyAlignment="1">
      <alignment horizontal="center" vertical="center" wrapText="1"/>
    </xf>
    <xf numFmtId="0" fontId="7" fillId="0" borderId="47" xfId="0" applyFont="1" applyBorder="1" applyAlignment="1">
      <alignment horizontal="left" vertical="center" wrapText="1"/>
    </xf>
    <xf numFmtId="0" fontId="7" fillId="0" borderId="47" xfId="0" applyFont="1" applyBorder="1" applyAlignment="1">
      <alignment horizontal="center" vertical="center" wrapText="1"/>
    </xf>
    <xf numFmtId="0" fontId="27" fillId="0" borderId="43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left" vertical="center" wrapText="1"/>
    </xf>
    <xf numFmtId="0" fontId="7" fillId="0" borderId="43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41" fontId="7" fillId="0" borderId="44" xfId="1" applyFont="1" applyBorder="1" applyAlignment="1">
      <alignment horizontal="right" vertical="center" wrapText="1"/>
    </xf>
    <xf numFmtId="41" fontId="7" fillId="0" borderId="47" xfId="1" quotePrefix="1" applyFont="1" applyBorder="1" applyAlignment="1">
      <alignment horizontal="right" vertical="center" wrapText="1"/>
    </xf>
    <xf numFmtId="41" fontId="7" fillId="0" borderId="47" xfId="1" applyFont="1" applyBorder="1" applyAlignment="1">
      <alignment horizontal="right" vertical="center" wrapText="1"/>
    </xf>
    <xf numFmtId="41" fontId="7" fillId="0" borderId="46" xfId="1" applyFont="1" applyBorder="1" applyAlignment="1">
      <alignment horizontal="right" vertical="center" wrapText="1"/>
    </xf>
    <xf numFmtId="41" fontId="7" fillId="0" borderId="43" xfId="1" applyFont="1" applyBorder="1" applyAlignment="1">
      <alignment horizontal="right" vertical="center" wrapText="1"/>
    </xf>
    <xf numFmtId="41" fontId="7" fillId="0" borderId="45" xfId="1" applyFont="1" applyBorder="1" applyAlignment="1">
      <alignment horizontal="right" vertical="center" wrapText="1"/>
    </xf>
    <xf numFmtId="41" fontId="7" fillId="0" borderId="42" xfId="1" applyFont="1" applyBorder="1" applyAlignment="1">
      <alignment horizontal="right" vertical="center" wrapText="1"/>
    </xf>
    <xf numFmtId="0" fontId="28" fillId="0" borderId="44" xfId="2" applyFont="1" applyBorder="1" applyAlignment="1">
      <alignment horizontal="center" vertical="center"/>
    </xf>
    <xf numFmtId="0" fontId="28" fillId="0" borderId="47" xfId="2" applyFont="1" applyBorder="1" applyAlignment="1">
      <alignment horizontal="center" vertical="center"/>
    </xf>
    <xf numFmtId="0" fontId="28" fillId="0" borderId="46" xfId="2" applyFont="1" applyBorder="1" applyAlignment="1">
      <alignment horizontal="center" vertical="center"/>
    </xf>
    <xf numFmtId="0" fontId="28" fillId="0" borderId="43" xfId="2" applyFont="1" applyBorder="1" applyAlignment="1">
      <alignment horizontal="center" vertical="center"/>
    </xf>
    <xf numFmtId="0" fontId="28" fillId="0" borderId="45" xfId="2" applyFont="1" applyBorder="1" applyAlignment="1">
      <alignment horizontal="center" vertical="center"/>
    </xf>
    <xf numFmtId="0" fontId="28" fillId="0" borderId="42" xfId="2" applyFont="1" applyBorder="1" applyAlignment="1">
      <alignment horizontal="center" vertical="center"/>
    </xf>
    <xf numFmtId="0" fontId="5" fillId="0" borderId="10" xfId="0" applyFont="1" applyBorder="1" applyAlignment="1">
      <alignment vertical="center" wrapText="1"/>
    </xf>
    <xf numFmtId="0" fontId="5" fillId="0" borderId="12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178" fontId="5" fillId="0" borderId="4" xfId="0" applyNumberFormat="1" applyFont="1" applyBorder="1" applyAlignment="1">
      <alignment horizontal="left" vertical="center" indent="1" shrinkToFit="1"/>
    </xf>
    <xf numFmtId="178" fontId="5" fillId="0" borderId="19" xfId="0" applyNumberFormat="1" applyFont="1" applyBorder="1" applyAlignment="1">
      <alignment horizontal="left" vertical="center" indent="1" shrinkToFit="1"/>
    </xf>
    <xf numFmtId="178" fontId="5" fillId="0" borderId="6" xfId="0" applyNumberFormat="1" applyFont="1" applyBorder="1" applyAlignment="1">
      <alignment horizontal="left" vertical="center" wrapText="1" indent="1"/>
    </xf>
    <xf numFmtId="178" fontId="5" fillId="0" borderId="14" xfId="0" applyNumberFormat="1" applyFont="1" applyBorder="1" applyAlignment="1">
      <alignment horizontal="left" vertical="center" wrapText="1" indent="1"/>
    </xf>
    <xf numFmtId="178" fontId="5" fillId="0" borderId="22" xfId="0" applyNumberFormat="1" applyFont="1" applyBorder="1" applyAlignment="1">
      <alignment horizontal="left" vertical="center" wrapText="1" indent="1"/>
    </xf>
    <xf numFmtId="178" fontId="5" fillId="0" borderId="7" xfId="0" applyNumberFormat="1" applyFont="1" applyBorder="1" applyAlignment="1">
      <alignment horizontal="left" vertical="center" wrapText="1" indent="1"/>
    </xf>
    <xf numFmtId="178" fontId="14" fillId="0" borderId="14" xfId="0" applyNumberFormat="1" applyFont="1" applyBorder="1" applyAlignment="1">
      <alignment horizontal="left" vertical="center" wrapText="1" indent="1"/>
    </xf>
    <xf numFmtId="178" fontId="6" fillId="0" borderId="14" xfId="0" applyNumberFormat="1" applyFont="1" applyBorder="1" applyAlignment="1">
      <alignment horizontal="left" vertical="center" wrapText="1" indent="1"/>
    </xf>
    <xf numFmtId="178" fontId="6" fillId="0" borderId="22" xfId="0" applyNumberFormat="1" applyFont="1" applyBorder="1" applyAlignment="1">
      <alignment horizontal="left" vertical="center" wrapText="1" indent="1"/>
    </xf>
    <xf numFmtId="178" fontId="5" fillId="0" borderId="14" xfId="0" applyNumberFormat="1" applyFont="1" applyBorder="1" applyAlignment="1">
      <alignment horizontal="left" vertical="center" wrapText="1" indent="1"/>
    </xf>
    <xf numFmtId="178" fontId="5" fillId="0" borderId="22" xfId="0" applyNumberFormat="1" applyFont="1" applyBorder="1" applyAlignment="1">
      <alignment horizontal="left" vertical="center" wrapText="1" indent="1"/>
    </xf>
    <xf numFmtId="178" fontId="5" fillId="0" borderId="8" xfId="0" applyNumberFormat="1" applyFont="1" applyBorder="1" applyAlignment="1">
      <alignment horizontal="left" vertical="center" wrapText="1" indent="1"/>
    </xf>
    <xf numFmtId="178" fontId="5" fillId="0" borderId="15" xfId="0" applyNumberFormat="1" applyFont="1" applyBorder="1" applyAlignment="1">
      <alignment horizontal="left" vertical="center" wrapText="1" indent="1"/>
    </xf>
    <xf numFmtId="178" fontId="5" fillId="0" borderId="21" xfId="0" applyNumberFormat="1" applyFont="1" applyBorder="1" applyAlignment="1">
      <alignment horizontal="left" vertical="center" wrapText="1" indent="1"/>
    </xf>
    <xf numFmtId="178" fontId="5" fillId="0" borderId="10" xfId="0" applyNumberFormat="1" applyFont="1" applyBorder="1" applyAlignment="1">
      <alignment horizontal="left" vertical="center" wrapText="1" indent="1"/>
    </xf>
    <xf numFmtId="178" fontId="5" fillId="0" borderId="0" xfId="0" applyNumberFormat="1" applyFont="1" applyBorder="1" applyAlignment="1">
      <alignment horizontal="left" vertical="center" wrapText="1" indent="1"/>
    </xf>
    <xf numFmtId="178" fontId="5" fillId="0" borderId="24" xfId="0" applyNumberFormat="1" applyFont="1" applyBorder="1" applyAlignment="1">
      <alignment horizontal="left" vertical="center" wrapText="1" indent="1"/>
    </xf>
    <xf numFmtId="178" fontId="5" fillId="0" borderId="12" xfId="0" applyNumberFormat="1" applyFont="1" applyBorder="1" applyAlignment="1">
      <alignment horizontal="left" vertical="center" wrapText="1" indent="1"/>
    </xf>
    <xf numFmtId="178" fontId="5" fillId="0" borderId="5" xfId="0" applyNumberFormat="1" applyFont="1" applyBorder="1" applyAlignment="1">
      <alignment horizontal="left" vertical="center" wrapText="1" indent="1"/>
    </xf>
    <xf numFmtId="178" fontId="5" fillId="0" borderId="17" xfId="0" applyNumberFormat="1" applyFont="1" applyBorder="1" applyAlignment="1">
      <alignment horizontal="left" vertical="center" wrapText="1" indent="1"/>
    </xf>
    <xf numFmtId="178" fontId="10" fillId="0" borderId="26" xfId="0" applyNumberFormat="1" applyFont="1" applyBorder="1" applyAlignment="1">
      <alignment horizontal="left" vertical="center" wrapText="1" indent="1"/>
    </xf>
    <xf numFmtId="178" fontId="10" fillId="0" borderId="27" xfId="0" applyNumberFormat="1" applyFont="1" applyBorder="1" applyAlignment="1">
      <alignment horizontal="left" vertical="center" wrapText="1" indent="1"/>
    </xf>
    <xf numFmtId="178" fontId="10" fillId="0" borderId="29" xfId="0" applyNumberFormat="1" applyFont="1" applyBorder="1" applyAlignment="1">
      <alignment horizontal="left" vertical="center" wrapText="1" indent="1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31" fmlaRange="$AK$2:$AK$10" noThreeD="1" sel="1" val="0"/>
</file>

<file path=xl/ctrlProps/ctrlProp10.xml><?xml version="1.0" encoding="utf-8"?>
<formControlPr xmlns="http://schemas.microsoft.com/office/spreadsheetml/2009/9/main" objectType="Drop" dropLines="3" dropStyle="combo" dx="31" fmlaRange="$AL$2:$AL$4" noThreeD="1" sel="1" val="0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10</xdr:row>
          <xdr:rowOff>68580</xdr:rowOff>
        </xdr:from>
        <xdr:to>
          <xdr:col>9</xdr:col>
          <xdr:colOff>289560</xdr:colOff>
          <xdr:row>10</xdr:row>
          <xdr:rowOff>304800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단독판매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</xdr:row>
          <xdr:rowOff>60960</xdr:rowOff>
        </xdr:from>
        <xdr:to>
          <xdr:col>30</xdr:col>
          <xdr:colOff>297180</xdr:colOff>
          <xdr:row>7</xdr:row>
          <xdr:rowOff>297180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12</xdr:row>
          <xdr:rowOff>68580</xdr:rowOff>
        </xdr:from>
        <xdr:to>
          <xdr:col>9</xdr:col>
          <xdr:colOff>76200</xdr:colOff>
          <xdr:row>12</xdr:row>
          <xdr:rowOff>304800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12</xdr:row>
          <xdr:rowOff>68580</xdr:rowOff>
        </xdr:from>
        <xdr:to>
          <xdr:col>14</xdr:col>
          <xdr:colOff>175260</xdr:colOff>
          <xdr:row>12</xdr:row>
          <xdr:rowOff>304800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11</xdr:row>
          <xdr:rowOff>83820</xdr:rowOff>
        </xdr:from>
        <xdr:to>
          <xdr:col>9</xdr:col>
          <xdr:colOff>160020</xdr:colOff>
          <xdr:row>11</xdr:row>
          <xdr:rowOff>320040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현장수령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11</xdr:row>
          <xdr:rowOff>83820</xdr:rowOff>
        </xdr:from>
        <xdr:to>
          <xdr:col>14</xdr:col>
          <xdr:colOff>297180</xdr:colOff>
          <xdr:row>11</xdr:row>
          <xdr:rowOff>320040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현장수령+배송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83820</xdr:rowOff>
        </xdr:from>
        <xdr:to>
          <xdr:col>21</xdr:col>
          <xdr:colOff>129540</xdr:colOff>
          <xdr:row>11</xdr:row>
          <xdr:rowOff>327660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일괄 배송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281940</xdr:colOff>
          <xdr:row>10</xdr:row>
          <xdr:rowOff>68580</xdr:rowOff>
        </xdr:from>
        <xdr:to>
          <xdr:col>28</xdr:col>
          <xdr:colOff>220980</xdr:colOff>
          <xdr:row>10</xdr:row>
          <xdr:rowOff>304800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지정석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10</xdr:row>
          <xdr:rowOff>68580</xdr:rowOff>
        </xdr:from>
        <xdr:to>
          <xdr:col>30</xdr:col>
          <xdr:colOff>632460</xdr:colOff>
          <xdr:row>10</xdr:row>
          <xdr:rowOff>304800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비지정석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44</xdr:row>
          <xdr:rowOff>68580</xdr:rowOff>
        </xdr:from>
        <xdr:to>
          <xdr:col>12</xdr:col>
          <xdr:colOff>175260</xdr:colOff>
          <xdr:row>44</xdr:row>
          <xdr:rowOff>304800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종료 후 정산 (종료 후 7일 이내)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251460</xdr:colOff>
          <xdr:row>44</xdr:row>
          <xdr:rowOff>60960</xdr:rowOff>
        </xdr:from>
        <xdr:to>
          <xdr:col>30</xdr:col>
          <xdr:colOff>175260</xdr:colOff>
          <xdr:row>44</xdr:row>
          <xdr:rowOff>297180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월 단위 정산 (매월 1일~말일까지 판매된 금액 / 공연기간 3개월 이상일 경우)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15</xdr:row>
          <xdr:rowOff>68580</xdr:rowOff>
        </xdr:from>
        <xdr:to>
          <xdr:col>13</xdr:col>
          <xdr:colOff>106680</xdr:colOff>
          <xdr:row>15</xdr:row>
          <xdr:rowOff>304800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사용(사용시 영문 자료 전달)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160020</xdr:colOff>
          <xdr:row>15</xdr:row>
          <xdr:rowOff>68580</xdr:rowOff>
        </xdr:from>
        <xdr:to>
          <xdr:col>18</xdr:col>
          <xdr:colOff>7620</xdr:colOff>
          <xdr:row>15</xdr:row>
          <xdr:rowOff>304800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182880</xdr:colOff>
          <xdr:row>54</xdr:row>
          <xdr:rowOff>160020</xdr:rowOff>
        </xdr:from>
        <xdr:to>
          <xdr:col>28</xdr:col>
          <xdr:colOff>60960</xdr:colOff>
          <xdr:row>54</xdr:row>
          <xdr:rowOff>373380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동의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274320</xdr:colOff>
          <xdr:row>54</xdr:row>
          <xdr:rowOff>144780</xdr:rowOff>
        </xdr:from>
        <xdr:to>
          <xdr:col>30</xdr:col>
          <xdr:colOff>335280</xdr:colOff>
          <xdr:row>54</xdr:row>
          <xdr:rowOff>381000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동의안함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45</xdr:row>
          <xdr:rowOff>68580</xdr:rowOff>
        </xdr:from>
        <xdr:to>
          <xdr:col>5</xdr:col>
          <xdr:colOff>342900</xdr:colOff>
          <xdr:row>45</xdr:row>
          <xdr:rowOff>304800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수수료 차감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45</xdr:row>
          <xdr:rowOff>76200</xdr:rowOff>
        </xdr:from>
        <xdr:to>
          <xdr:col>10</xdr:col>
          <xdr:colOff>182880</xdr:colOff>
          <xdr:row>45</xdr:row>
          <xdr:rowOff>312420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수수료 청구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99060</xdr:colOff>
          <xdr:row>45</xdr:row>
          <xdr:rowOff>68580</xdr:rowOff>
        </xdr:from>
        <xdr:to>
          <xdr:col>25</xdr:col>
          <xdr:colOff>0</xdr:colOff>
          <xdr:row>45</xdr:row>
          <xdr:rowOff>304800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기획사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160020</xdr:colOff>
          <xdr:row>45</xdr:row>
          <xdr:rowOff>68580</xdr:rowOff>
        </xdr:from>
        <xdr:to>
          <xdr:col>26</xdr:col>
          <xdr:colOff>502920</xdr:colOff>
          <xdr:row>45</xdr:row>
          <xdr:rowOff>304800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티켓링크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160020</xdr:colOff>
          <xdr:row>47</xdr:row>
          <xdr:rowOff>121920</xdr:rowOff>
        </xdr:from>
        <xdr:to>
          <xdr:col>24</xdr:col>
          <xdr:colOff>327660</xdr:colOff>
          <xdr:row>47</xdr:row>
          <xdr:rowOff>274320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예매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47</xdr:row>
          <xdr:rowOff>121920</xdr:rowOff>
        </xdr:from>
        <xdr:to>
          <xdr:col>26</xdr:col>
          <xdr:colOff>365760</xdr:colOff>
          <xdr:row>47</xdr:row>
          <xdr:rowOff>274320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배송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47</xdr:row>
          <xdr:rowOff>114300</xdr:rowOff>
        </xdr:from>
        <xdr:to>
          <xdr:col>28</xdr:col>
          <xdr:colOff>266700</xdr:colOff>
          <xdr:row>47</xdr:row>
          <xdr:rowOff>266700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취소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342072</xdr:colOff>
      <xdr:row>28</xdr:row>
      <xdr:rowOff>71837</xdr:rowOff>
    </xdr:from>
    <xdr:to>
      <xdr:col>7</xdr:col>
      <xdr:colOff>158013</xdr:colOff>
      <xdr:row>28</xdr:row>
      <xdr:rowOff>264250</xdr:rowOff>
    </xdr:to>
    <xdr:sp macro="" textlink="">
      <xdr:nvSpPr>
        <xdr:cNvPr id="48" name="타원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492731" y="10426072"/>
          <a:ext cx="165564" cy="19241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3</xdr:col>
      <xdr:colOff>247650</xdr:colOff>
      <xdr:row>53</xdr:row>
      <xdr:rowOff>76200</xdr:rowOff>
    </xdr:from>
    <xdr:to>
      <xdr:col>3</xdr:col>
      <xdr:colOff>433713</xdr:colOff>
      <xdr:row>53</xdr:row>
      <xdr:rowOff>262263</xdr:rowOff>
    </xdr:to>
    <xdr:sp macro="" textlink="">
      <xdr:nvSpPr>
        <xdr:cNvPr id="51" name="타원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066925" y="18164175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10</xdr:row>
          <xdr:rowOff>68580</xdr:rowOff>
        </xdr:from>
        <xdr:to>
          <xdr:col>14</xdr:col>
          <xdr:colOff>289560</xdr:colOff>
          <xdr:row>10</xdr:row>
          <xdr:rowOff>304800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48</xdr:row>
          <xdr:rowOff>99060</xdr:rowOff>
        </xdr:from>
        <xdr:to>
          <xdr:col>13</xdr:col>
          <xdr:colOff>15240</xdr:colOff>
          <xdr:row>48</xdr:row>
          <xdr:rowOff>259080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해당사항 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48</xdr:row>
          <xdr:rowOff>99060</xdr:rowOff>
        </xdr:from>
        <xdr:to>
          <xdr:col>6</xdr:col>
          <xdr:colOff>152400</xdr:colOff>
          <xdr:row>48</xdr:row>
          <xdr:rowOff>259080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335280</xdr:colOff>
          <xdr:row>48</xdr:row>
          <xdr:rowOff>91440</xdr:rowOff>
        </xdr:from>
        <xdr:to>
          <xdr:col>29</xdr:col>
          <xdr:colOff>68580</xdr:colOff>
          <xdr:row>48</xdr:row>
          <xdr:rowOff>266700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해당사항 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144780</xdr:colOff>
          <xdr:row>48</xdr:row>
          <xdr:rowOff>99060</xdr:rowOff>
        </xdr:from>
        <xdr:to>
          <xdr:col>25</xdr:col>
          <xdr:colOff>297180</xdr:colOff>
          <xdr:row>48</xdr:row>
          <xdr:rowOff>251460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요청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104775</xdr:colOff>
      <xdr:row>21</xdr:row>
      <xdr:rowOff>76200</xdr:rowOff>
    </xdr:from>
    <xdr:to>
      <xdr:col>8</xdr:col>
      <xdr:colOff>128913</xdr:colOff>
      <xdr:row>21</xdr:row>
      <xdr:rowOff>262263</xdr:rowOff>
    </xdr:to>
    <xdr:sp macro="" textlink="">
      <xdr:nvSpPr>
        <xdr:cNvPr id="58" name="타원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3971925" y="5934075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42</xdr:row>
          <xdr:rowOff>45720</xdr:rowOff>
        </xdr:from>
        <xdr:to>
          <xdr:col>17</xdr:col>
          <xdr:colOff>106680</xdr:colOff>
          <xdr:row>42</xdr:row>
          <xdr:rowOff>289560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신청업체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42</xdr:row>
          <xdr:rowOff>45720</xdr:rowOff>
        </xdr:from>
        <xdr:to>
          <xdr:col>26</xdr:col>
          <xdr:colOff>121920</xdr:colOff>
          <xdr:row>42</xdr:row>
          <xdr:rowOff>289560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비신청업체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228600</xdr:colOff>
      <xdr:row>42</xdr:row>
      <xdr:rowOff>66675</xdr:rowOff>
    </xdr:from>
    <xdr:to>
      <xdr:col>3</xdr:col>
      <xdr:colOff>414663</xdr:colOff>
      <xdr:row>42</xdr:row>
      <xdr:rowOff>252738</xdr:rowOff>
    </xdr:to>
    <xdr:sp macro="" textlink="">
      <xdr:nvSpPr>
        <xdr:cNvPr id="53" name="타원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2047875" y="14706600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43</xdr:row>
          <xdr:rowOff>45720</xdr:rowOff>
        </xdr:from>
        <xdr:to>
          <xdr:col>17</xdr:col>
          <xdr:colOff>106680</xdr:colOff>
          <xdr:row>43</xdr:row>
          <xdr:rowOff>289560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제 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43</xdr:row>
          <xdr:rowOff>45720</xdr:rowOff>
        </xdr:from>
        <xdr:to>
          <xdr:col>26</xdr:col>
          <xdr:colOff>121920</xdr:colOff>
          <xdr:row>43</xdr:row>
          <xdr:rowOff>289560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비 제 공 (온라인 공연)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323850</xdr:colOff>
      <xdr:row>43</xdr:row>
      <xdr:rowOff>66675</xdr:rowOff>
    </xdr:from>
    <xdr:to>
      <xdr:col>3</xdr:col>
      <xdr:colOff>509913</xdr:colOff>
      <xdr:row>43</xdr:row>
      <xdr:rowOff>252738</xdr:rowOff>
    </xdr:to>
    <xdr:sp macro="" textlink="">
      <xdr:nvSpPr>
        <xdr:cNvPr id="54" name="타원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352675" y="15059025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59500</xdr:colOff>
      <xdr:row>1</xdr:row>
      <xdr:rowOff>320675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9680" cy="952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19</xdr:row>
          <xdr:rowOff>60960</xdr:rowOff>
        </xdr:from>
        <xdr:to>
          <xdr:col>9</xdr:col>
          <xdr:colOff>30480</xdr:colOff>
          <xdr:row>19</xdr:row>
          <xdr:rowOff>304800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60960</xdr:rowOff>
        </xdr:from>
        <xdr:to>
          <xdr:col>11</xdr:col>
          <xdr:colOff>38100</xdr:colOff>
          <xdr:row>19</xdr:row>
          <xdr:rowOff>297180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19</xdr:row>
          <xdr:rowOff>60960</xdr:rowOff>
        </xdr:from>
        <xdr:to>
          <xdr:col>19</xdr:col>
          <xdr:colOff>22860</xdr:colOff>
          <xdr:row>19</xdr:row>
          <xdr:rowOff>304800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노출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91440</xdr:colOff>
          <xdr:row>19</xdr:row>
          <xdr:rowOff>60960</xdr:rowOff>
        </xdr:from>
        <xdr:to>
          <xdr:col>21</xdr:col>
          <xdr:colOff>182880</xdr:colOff>
          <xdr:row>19</xdr:row>
          <xdr:rowOff>304800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미노출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281940</xdr:colOff>
          <xdr:row>19</xdr:row>
          <xdr:rowOff>60960</xdr:rowOff>
        </xdr:from>
        <xdr:to>
          <xdr:col>28</xdr:col>
          <xdr:colOff>38100</xdr:colOff>
          <xdr:row>19</xdr:row>
          <xdr:rowOff>297180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기대평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19</xdr:row>
          <xdr:rowOff>60960</xdr:rowOff>
        </xdr:from>
        <xdr:to>
          <xdr:col>30</xdr:col>
          <xdr:colOff>533400</xdr:colOff>
          <xdr:row>19</xdr:row>
          <xdr:rowOff>297180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구매후기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8</xdr:row>
          <xdr:rowOff>83820</xdr:rowOff>
        </xdr:from>
        <xdr:to>
          <xdr:col>13</xdr:col>
          <xdr:colOff>45720</xdr:colOff>
          <xdr:row>8</xdr:row>
          <xdr:rowOff>297180</xdr:rowOff>
        </xdr:to>
        <xdr:sp macro="" textlink="">
          <xdr:nvSpPr>
            <xdr:cNvPr id="1214" name="Drop Down 190" descr="장르선택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9</xdr:row>
          <xdr:rowOff>68580</xdr:rowOff>
        </xdr:from>
        <xdr:to>
          <xdr:col>10</xdr:col>
          <xdr:colOff>205740</xdr:colOff>
          <xdr:row>9</xdr:row>
          <xdr:rowOff>274320</xdr:rowOff>
        </xdr:to>
        <xdr:sp macro="" textlink="">
          <xdr:nvSpPr>
            <xdr:cNvPr id="1215" name="Drop Down 191" descr="해당없음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281940</xdr:colOff>
          <xdr:row>8</xdr:row>
          <xdr:rowOff>68580</xdr:rowOff>
        </xdr:from>
        <xdr:to>
          <xdr:col>28</xdr:col>
          <xdr:colOff>228600</xdr:colOff>
          <xdr:row>8</xdr:row>
          <xdr:rowOff>304800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가능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</xdr:row>
          <xdr:rowOff>68580</xdr:rowOff>
        </xdr:from>
        <xdr:to>
          <xdr:col>30</xdr:col>
          <xdr:colOff>632460</xdr:colOff>
          <xdr:row>8</xdr:row>
          <xdr:rowOff>304800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불가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13</xdr:row>
          <xdr:rowOff>68580</xdr:rowOff>
        </xdr:from>
        <xdr:to>
          <xdr:col>9</xdr:col>
          <xdr:colOff>76200</xdr:colOff>
          <xdr:row>13</xdr:row>
          <xdr:rowOff>304800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13</xdr:row>
          <xdr:rowOff>60960</xdr:rowOff>
        </xdr:from>
        <xdr:to>
          <xdr:col>14</xdr:col>
          <xdr:colOff>175260</xdr:colOff>
          <xdr:row>13</xdr:row>
          <xdr:rowOff>304800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11</xdr:row>
          <xdr:rowOff>373380</xdr:rowOff>
        </xdr:from>
        <xdr:to>
          <xdr:col>9</xdr:col>
          <xdr:colOff>160020</xdr:colOff>
          <xdr:row>11</xdr:row>
          <xdr:rowOff>609600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스마트티켓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11</xdr:row>
          <xdr:rowOff>381000</xdr:rowOff>
        </xdr:from>
        <xdr:to>
          <xdr:col>14</xdr:col>
          <xdr:colOff>160020</xdr:colOff>
          <xdr:row>11</xdr:row>
          <xdr:rowOff>617220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모바일티켓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14</xdr:row>
          <xdr:rowOff>91440</xdr:rowOff>
        </xdr:from>
        <xdr:to>
          <xdr:col>9</xdr:col>
          <xdr:colOff>76200</xdr:colOff>
          <xdr:row>14</xdr:row>
          <xdr:rowOff>327660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예매당일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14</xdr:row>
          <xdr:rowOff>91440</xdr:rowOff>
        </xdr:from>
        <xdr:to>
          <xdr:col>14</xdr:col>
          <xdr:colOff>76200</xdr:colOff>
          <xdr:row>14</xdr:row>
          <xdr:rowOff>327660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예매익일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15</xdr:row>
          <xdr:rowOff>68580</xdr:rowOff>
        </xdr:from>
        <xdr:to>
          <xdr:col>28</xdr:col>
          <xdr:colOff>30480</xdr:colOff>
          <xdr:row>15</xdr:row>
          <xdr:rowOff>304800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즉시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16</xdr:row>
          <xdr:rowOff>60960</xdr:rowOff>
        </xdr:from>
        <xdr:to>
          <xdr:col>27</xdr:col>
          <xdr:colOff>160020</xdr:colOff>
          <xdr:row>16</xdr:row>
          <xdr:rowOff>297180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일시선택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17</xdr:row>
          <xdr:rowOff>60960</xdr:rowOff>
        </xdr:from>
        <xdr:to>
          <xdr:col>27</xdr:col>
          <xdr:colOff>160020</xdr:colOff>
          <xdr:row>17</xdr:row>
          <xdr:rowOff>297180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미정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18</xdr:row>
          <xdr:rowOff>68580</xdr:rowOff>
        </xdr:from>
        <xdr:to>
          <xdr:col>28</xdr:col>
          <xdr:colOff>30480</xdr:colOff>
          <xdr:row>18</xdr:row>
          <xdr:rowOff>304800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회차당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18</xdr:row>
          <xdr:rowOff>68580</xdr:rowOff>
        </xdr:from>
        <xdr:to>
          <xdr:col>29</xdr:col>
          <xdr:colOff>182880</xdr:colOff>
          <xdr:row>18</xdr:row>
          <xdr:rowOff>304800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상품당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91440</xdr:rowOff>
        </xdr:from>
        <xdr:to>
          <xdr:col>20</xdr:col>
          <xdr:colOff>228600</xdr:colOff>
          <xdr:row>14</xdr:row>
          <xdr:rowOff>350520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미설정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3</xdr:row>
          <xdr:rowOff>60960</xdr:rowOff>
        </xdr:from>
        <xdr:to>
          <xdr:col>6</xdr:col>
          <xdr:colOff>53340</xdr:colOff>
          <xdr:row>3</xdr:row>
          <xdr:rowOff>297180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뮤지컬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3</xdr:row>
          <xdr:rowOff>60960</xdr:rowOff>
        </xdr:from>
        <xdr:to>
          <xdr:col>11</xdr:col>
          <xdr:colOff>30480</xdr:colOff>
          <xdr:row>3</xdr:row>
          <xdr:rowOff>297180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연극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3</xdr:row>
          <xdr:rowOff>53340</xdr:rowOff>
        </xdr:from>
        <xdr:to>
          <xdr:col>15</xdr:col>
          <xdr:colOff>68580</xdr:colOff>
          <xdr:row>3</xdr:row>
          <xdr:rowOff>297180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클래식/무용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3</xdr:row>
          <xdr:rowOff>53340</xdr:rowOff>
        </xdr:from>
        <xdr:to>
          <xdr:col>8</xdr:col>
          <xdr:colOff>106680</xdr:colOff>
          <xdr:row>3</xdr:row>
          <xdr:rowOff>297180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콘서트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129540</xdr:colOff>
          <xdr:row>3</xdr:row>
          <xdr:rowOff>60960</xdr:rowOff>
        </xdr:from>
        <xdr:to>
          <xdr:col>24</xdr:col>
          <xdr:colOff>15240</xdr:colOff>
          <xdr:row>3</xdr:row>
          <xdr:rowOff>297180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레저/체험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</xdr:colOff>
          <xdr:row>3</xdr:row>
          <xdr:rowOff>60960</xdr:rowOff>
        </xdr:from>
        <xdr:to>
          <xdr:col>22</xdr:col>
          <xdr:colOff>68580</xdr:colOff>
          <xdr:row>3</xdr:row>
          <xdr:rowOff>297180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전시/축제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</xdr:row>
          <xdr:rowOff>68580</xdr:rowOff>
        </xdr:from>
        <xdr:to>
          <xdr:col>7</xdr:col>
          <xdr:colOff>0</xdr:colOff>
          <xdr:row>4</xdr:row>
          <xdr:rowOff>304800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단독판매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4</xdr:row>
          <xdr:rowOff>68580</xdr:rowOff>
        </xdr:from>
        <xdr:to>
          <xdr:col>11</xdr:col>
          <xdr:colOff>38100</xdr:colOff>
          <xdr:row>4</xdr:row>
          <xdr:rowOff>304800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3</xdr:row>
          <xdr:rowOff>60960</xdr:rowOff>
        </xdr:from>
        <xdr:to>
          <xdr:col>27</xdr:col>
          <xdr:colOff>144780</xdr:colOff>
          <xdr:row>3</xdr:row>
          <xdr:rowOff>297180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e스포츠/게임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4255</xdr:colOff>
      <xdr:row>1</xdr:row>
      <xdr:rowOff>323850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9680" cy="952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137160</xdr:colOff>
          <xdr:row>3</xdr:row>
          <xdr:rowOff>60960</xdr:rowOff>
        </xdr:from>
        <xdr:to>
          <xdr:col>19</xdr:col>
          <xdr:colOff>114300</xdr:colOff>
          <xdr:row>3</xdr:row>
          <xdr:rowOff>297180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가족&amp;아동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</xdr:row>
          <xdr:rowOff>53340</xdr:rowOff>
        </xdr:from>
        <xdr:to>
          <xdr:col>7</xdr:col>
          <xdr:colOff>99060</xdr:colOff>
          <xdr:row>6</xdr:row>
          <xdr:rowOff>289560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즉시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6</xdr:row>
          <xdr:rowOff>53340</xdr:rowOff>
        </xdr:from>
        <xdr:to>
          <xdr:col>10</xdr:col>
          <xdr:colOff>220980</xdr:colOff>
          <xdr:row>6</xdr:row>
          <xdr:rowOff>289560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일시선택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96D0C5-791F-4678-BC1E-0C8D51FFF7F1}">
  <we:reference id="29673e3c-d826-4f00-92ee-162334a52b1a" version="1.0.0.8" store="EXCatalog" storeType="EXCatalog"/>
  <we:alternateReferences>
    <we:reference id="WA200009404" version="1.0.0.8" store="ko-KR" storeType="OMEX"/>
  </we:alternateReferences>
  <we:properties>
    <we:property name="claude.fileId" value="&quot;66c3a066-41ba-4177-8400-6e833aeb3bcf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26" Type="http://schemas.openxmlformats.org/officeDocument/2006/relationships/ctrlProp" Target="../ctrlProps/ctrlProp17.xml"/><Relationship Id="rId39" Type="http://schemas.openxmlformats.org/officeDocument/2006/relationships/ctrlProp" Target="../ctrlProps/ctrlProp30.xml"/><Relationship Id="rId21" Type="http://schemas.openxmlformats.org/officeDocument/2006/relationships/ctrlProp" Target="../ctrlProps/ctrlProp12.xml"/><Relationship Id="rId34" Type="http://schemas.openxmlformats.org/officeDocument/2006/relationships/ctrlProp" Target="../ctrlProps/ctrlProp25.xml"/><Relationship Id="rId42" Type="http://schemas.openxmlformats.org/officeDocument/2006/relationships/ctrlProp" Target="../ctrlProps/ctrlProp33.xml"/><Relationship Id="rId47" Type="http://schemas.openxmlformats.org/officeDocument/2006/relationships/ctrlProp" Target="../ctrlProps/ctrlProp38.xml"/><Relationship Id="rId50" Type="http://schemas.openxmlformats.org/officeDocument/2006/relationships/ctrlProp" Target="../ctrlProps/ctrlProp41.xml"/><Relationship Id="rId55" Type="http://schemas.openxmlformats.org/officeDocument/2006/relationships/ctrlProp" Target="../ctrlProps/ctrlProp46.xml"/><Relationship Id="rId63" Type="http://schemas.openxmlformats.org/officeDocument/2006/relationships/comments" Target="../comments1.xm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www.ticketlink.co.kr/" TargetMode="External"/><Relationship Id="rId16" Type="http://schemas.openxmlformats.org/officeDocument/2006/relationships/ctrlProp" Target="../ctrlProps/ctrlProp7.xml"/><Relationship Id="rId29" Type="http://schemas.openxmlformats.org/officeDocument/2006/relationships/ctrlProp" Target="../ctrlProps/ctrlProp20.xml"/><Relationship Id="rId11" Type="http://schemas.openxmlformats.org/officeDocument/2006/relationships/ctrlProp" Target="../ctrlProps/ctrlProp2.xml"/><Relationship Id="rId24" Type="http://schemas.openxmlformats.org/officeDocument/2006/relationships/ctrlProp" Target="../ctrlProps/ctrlProp15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40" Type="http://schemas.openxmlformats.org/officeDocument/2006/relationships/ctrlProp" Target="../ctrlProps/ctrlProp31.xml"/><Relationship Id="rId45" Type="http://schemas.openxmlformats.org/officeDocument/2006/relationships/ctrlProp" Target="../ctrlProps/ctrlProp36.xml"/><Relationship Id="rId53" Type="http://schemas.openxmlformats.org/officeDocument/2006/relationships/ctrlProp" Target="../ctrlProps/ctrlProp44.xml"/><Relationship Id="rId58" Type="http://schemas.openxmlformats.org/officeDocument/2006/relationships/ctrlProp" Target="../ctrlProps/ctrlProp49.xml"/><Relationship Id="rId61" Type="http://schemas.openxmlformats.org/officeDocument/2006/relationships/ctrlProp" Target="../ctrlProps/ctrlProp52.xml"/><Relationship Id="rId19" Type="http://schemas.openxmlformats.org/officeDocument/2006/relationships/ctrlProp" Target="../ctrlProps/ctrlProp10.x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43" Type="http://schemas.openxmlformats.org/officeDocument/2006/relationships/ctrlProp" Target="../ctrlProps/ctrlProp34.xml"/><Relationship Id="rId48" Type="http://schemas.openxmlformats.org/officeDocument/2006/relationships/ctrlProp" Target="../ctrlProps/ctrlProp39.xml"/><Relationship Id="rId56" Type="http://schemas.openxmlformats.org/officeDocument/2006/relationships/ctrlProp" Target="../ctrlProps/ctrlProp47.xml"/><Relationship Id="rId8" Type="http://schemas.openxmlformats.org/officeDocument/2006/relationships/drawing" Target="../drawings/drawing1.xml"/><Relationship Id="rId51" Type="http://schemas.openxmlformats.org/officeDocument/2006/relationships/ctrlProp" Target="../ctrlProps/ctrlProp42.xml"/><Relationship Id="rId3" Type="http://schemas.openxmlformats.org/officeDocument/2006/relationships/hyperlink" Target="https://www.kopis.or.kr/por/cs/kopis/info/csInfo.do?menuId=MNU_000105&amp;searchWord=&amp;searchType=total" TargetMode="External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46" Type="http://schemas.openxmlformats.org/officeDocument/2006/relationships/ctrlProp" Target="../ctrlProps/ctrlProp37.xml"/><Relationship Id="rId59" Type="http://schemas.openxmlformats.org/officeDocument/2006/relationships/ctrlProp" Target="../ctrlProps/ctrlProp50.xml"/><Relationship Id="rId20" Type="http://schemas.openxmlformats.org/officeDocument/2006/relationships/ctrlProp" Target="../ctrlProps/ctrlProp11.xml"/><Relationship Id="rId41" Type="http://schemas.openxmlformats.org/officeDocument/2006/relationships/ctrlProp" Target="../ctrlProps/ctrlProp32.xml"/><Relationship Id="rId54" Type="http://schemas.openxmlformats.org/officeDocument/2006/relationships/ctrlProp" Target="../ctrlProps/ctrlProp45.xml"/><Relationship Id="rId62" Type="http://schemas.openxmlformats.org/officeDocument/2006/relationships/ctrlProp" Target="../ctrlProps/ctrlProp53.xml"/><Relationship Id="rId1" Type="http://schemas.openxmlformats.org/officeDocument/2006/relationships/hyperlink" Target="https://www.culture.go.kr/deduction/" TargetMode="External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49" Type="http://schemas.openxmlformats.org/officeDocument/2006/relationships/ctrlProp" Target="../ctrlProps/ctrlProp40.xml"/><Relationship Id="rId57" Type="http://schemas.openxmlformats.org/officeDocument/2006/relationships/ctrlProp" Target="../ctrlProps/ctrlProp48.xml"/><Relationship Id="rId10" Type="http://schemas.openxmlformats.org/officeDocument/2006/relationships/ctrlProp" Target="../ctrlProps/ctrlProp1.xml"/><Relationship Id="rId31" Type="http://schemas.openxmlformats.org/officeDocument/2006/relationships/ctrlProp" Target="../ctrlProps/ctrlProp22.xml"/><Relationship Id="rId44" Type="http://schemas.openxmlformats.org/officeDocument/2006/relationships/ctrlProp" Target="../ctrlProps/ctrlProp35.xml"/><Relationship Id="rId52" Type="http://schemas.openxmlformats.org/officeDocument/2006/relationships/ctrlProp" Target="../ctrlProps/ctrlProp43.xml"/><Relationship Id="rId60" Type="http://schemas.openxmlformats.org/officeDocument/2006/relationships/ctrlProp" Target="../ctrlProps/ctrlProp51.xml"/><Relationship Id="rId9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/Relationships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  <pageSetUpPr fitToPage="1"/>
  </sheetPr>
  <dimension ref="A1:AN62"/>
  <sheetViews>
    <sheetView showGridLines="0" zoomScaleNormal="100" zoomScaleSheetLayoutView="100" workbookViewId="0">
      <selection activeCell="AM5" sqref="AM5"/>
    </sheetView>
  </sheetViews>
  <sheetFormatPr defaultColWidth="9" defaultRowHeight="23.25" customHeight="1" outlineLevelRow="2" outlineLevelCol="1" x14ac:dyDescent="0.4"/>
  <cols>
    <col min="1" max="1" width="11.3984375" style="1" customWidth="1"/>
    <col min="2" max="4" width="7.59765625" style="1" customWidth="1"/>
    <col min="5" max="5" width="10.8984375" style="1" customWidth="1"/>
    <col min="6" max="6" width="9.19921875" style="1" customWidth="1"/>
    <col min="7" max="7" width="4.59765625" style="1" customWidth="1"/>
    <col min="8" max="9" width="2.09765625" style="1" customWidth="1"/>
    <col min="10" max="10" width="4.09765625" style="1" customWidth="1"/>
    <col min="11" max="11" width="3.59765625" style="1" customWidth="1"/>
    <col min="12" max="12" width="2.09765625" style="1" customWidth="1"/>
    <col min="13" max="14" width="3.59765625" style="1" customWidth="1"/>
    <col min="15" max="15" width="4.19921875" style="1" customWidth="1"/>
    <col min="16" max="20" width="2.3984375" style="1" customWidth="1"/>
    <col min="21" max="21" width="3.3984375" style="1" customWidth="1"/>
    <col min="22" max="22" width="3.19921875" style="1" customWidth="1"/>
    <col min="23" max="23" width="1.8984375" style="1" customWidth="1"/>
    <col min="24" max="25" width="5.09765625" style="1" customWidth="1"/>
    <col min="26" max="26" width="4.5" style="1" customWidth="1"/>
    <col min="27" max="27" width="7.09765625" style="1" customWidth="1"/>
    <col min="28" max="28" width="4.19921875" style="1" customWidth="1"/>
    <col min="29" max="29" width="4" style="1" customWidth="1"/>
    <col min="30" max="30" width="4.19921875" style="1" customWidth="1"/>
    <col min="31" max="31" width="11" style="1" customWidth="1"/>
    <col min="32" max="32" width="5.19921875" style="1" customWidth="1"/>
    <col min="33" max="33" width="5.59765625" style="1" customWidth="1"/>
    <col min="34" max="35" width="9" style="1"/>
    <col min="36" max="36" width="9" style="1" collapsed="1"/>
    <col min="37" max="38" width="9" style="1" hidden="1" customWidth="1" outlineLevel="1"/>
    <col min="39" max="40" width="9" style="1" hidden="1" outlineLevel="1"/>
    <col min="41" max="16384" width="9" style="1"/>
  </cols>
  <sheetData>
    <row r="1" spans="1:38" ht="49.5" customHeight="1" x14ac:dyDescent="0.4">
      <c r="A1" s="37" t="s">
        <v>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9"/>
    </row>
    <row r="2" spans="1:38" ht="27.75" customHeight="1" x14ac:dyDescent="0.4">
      <c r="A2" s="217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9"/>
      <c r="AK2" s="1" t="s">
        <v>117</v>
      </c>
      <c r="AL2" s="1" t="s">
        <v>110</v>
      </c>
    </row>
    <row r="3" spans="1:38" ht="23.25" customHeight="1" x14ac:dyDescent="0.4">
      <c r="A3" s="220" t="s">
        <v>6</v>
      </c>
      <c r="B3" s="221"/>
      <c r="C3" s="221"/>
      <c r="D3" s="221"/>
      <c r="E3" s="221"/>
      <c r="F3" s="221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221"/>
      <c r="X3" s="221"/>
      <c r="Y3" s="221"/>
      <c r="Z3" s="221"/>
      <c r="AA3" s="221"/>
      <c r="AB3" s="221"/>
      <c r="AC3" s="221"/>
      <c r="AD3" s="221"/>
      <c r="AE3" s="222"/>
      <c r="AK3" s="1" t="s">
        <v>100</v>
      </c>
      <c r="AL3" s="1" t="s">
        <v>109</v>
      </c>
    </row>
    <row r="4" spans="1:38" ht="27.6" customHeight="1" x14ac:dyDescent="0.4">
      <c r="A4" s="173" t="s">
        <v>35</v>
      </c>
      <c r="B4" s="159" t="s">
        <v>8</v>
      </c>
      <c r="C4" s="160"/>
      <c r="D4" s="161"/>
      <c r="E4" s="40" t="s">
        <v>0</v>
      </c>
      <c r="F4" s="42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6"/>
      <c r="AK4" s="1" t="s">
        <v>101</v>
      </c>
      <c r="AL4" s="1" t="s">
        <v>104</v>
      </c>
    </row>
    <row r="5" spans="1:38" ht="27.6" customHeight="1" x14ac:dyDescent="0.4" outlineLevel="2">
      <c r="A5" s="174"/>
      <c r="B5" s="162"/>
      <c r="C5" s="163"/>
      <c r="D5" s="164"/>
      <c r="E5" s="40" t="s">
        <v>1</v>
      </c>
      <c r="F5" s="42"/>
      <c r="G5" s="111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67"/>
      <c r="AK5" s="1" t="s">
        <v>102</v>
      </c>
    </row>
    <row r="6" spans="1:38" ht="27.6" customHeight="1" x14ac:dyDescent="0.4" outlineLevel="2">
      <c r="A6" s="174"/>
      <c r="B6" s="162"/>
      <c r="C6" s="163"/>
      <c r="D6" s="164"/>
      <c r="E6" s="40" t="s">
        <v>112</v>
      </c>
      <c r="F6" s="42"/>
      <c r="G6" s="149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79"/>
      <c r="X6" s="40" t="s">
        <v>15</v>
      </c>
      <c r="Y6" s="41"/>
      <c r="Z6" s="42"/>
      <c r="AA6" s="114"/>
      <c r="AB6" s="115"/>
      <c r="AC6" s="17" t="s">
        <v>11</v>
      </c>
      <c r="AD6" s="170" t="s">
        <v>10</v>
      </c>
      <c r="AE6" s="171"/>
      <c r="AK6" s="1" t="s">
        <v>103</v>
      </c>
    </row>
    <row r="7" spans="1:38" ht="27.6" customHeight="1" x14ac:dyDescent="0.4" outlineLevel="2">
      <c r="A7" s="174"/>
      <c r="B7" s="162"/>
      <c r="C7" s="163"/>
      <c r="D7" s="164"/>
      <c r="E7" s="40" t="s">
        <v>130</v>
      </c>
      <c r="F7" s="42"/>
      <c r="G7" s="18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79"/>
      <c r="X7" s="40" t="s">
        <v>16</v>
      </c>
      <c r="Y7" s="41"/>
      <c r="Z7" s="42"/>
      <c r="AA7" s="15" t="s">
        <v>23</v>
      </c>
      <c r="AB7" s="178"/>
      <c r="AC7" s="178"/>
      <c r="AD7" s="3" t="s">
        <v>9</v>
      </c>
      <c r="AE7" s="4"/>
      <c r="AK7" s="1" t="s">
        <v>104</v>
      </c>
    </row>
    <row r="8" spans="1:38" ht="27.6" customHeight="1" x14ac:dyDescent="0.4" outlineLevel="2">
      <c r="A8" s="174"/>
      <c r="B8" s="162"/>
      <c r="C8" s="163"/>
      <c r="D8" s="164"/>
      <c r="E8" s="40" t="s">
        <v>131</v>
      </c>
      <c r="F8" s="42"/>
      <c r="G8" s="149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79"/>
      <c r="X8" s="40" t="s">
        <v>17</v>
      </c>
      <c r="Y8" s="41"/>
      <c r="Z8" s="42"/>
      <c r="AA8" s="168"/>
      <c r="AB8" s="169"/>
      <c r="AC8" s="7" t="s">
        <v>24</v>
      </c>
      <c r="AD8" s="7"/>
      <c r="AE8" s="8"/>
      <c r="AK8" s="1" t="s">
        <v>105</v>
      </c>
      <c r="AG8" s="1" t="s">
        <v>201</v>
      </c>
      <c r="AH8" s="1" t="s">
        <v>246</v>
      </c>
    </row>
    <row r="9" spans="1:38" ht="27.6" customHeight="1" x14ac:dyDescent="0.4" outlineLevel="1">
      <c r="A9" s="174"/>
      <c r="B9" s="159" t="s">
        <v>5</v>
      </c>
      <c r="C9" s="160"/>
      <c r="D9" s="161"/>
      <c r="E9" s="43" t="s">
        <v>132</v>
      </c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0" t="s">
        <v>118</v>
      </c>
      <c r="Y9" s="41"/>
      <c r="Z9" s="42"/>
      <c r="AA9" s="143"/>
      <c r="AB9" s="144"/>
      <c r="AC9" s="144"/>
      <c r="AD9" s="144"/>
      <c r="AE9" s="145"/>
      <c r="AK9" s="1" t="s">
        <v>106</v>
      </c>
    </row>
    <row r="10" spans="1:38" ht="27.6" customHeight="1" x14ac:dyDescent="0.4" outlineLevel="2">
      <c r="A10" s="174"/>
      <c r="B10" s="46"/>
      <c r="C10" s="47"/>
      <c r="D10" s="172"/>
      <c r="E10" s="46" t="s">
        <v>108</v>
      </c>
      <c r="F10" s="172"/>
      <c r="G10" s="40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2"/>
      <c r="X10" s="40" t="s">
        <v>119</v>
      </c>
      <c r="Y10" s="41"/>
      <c r="Z10" s="42"/>
      <c r="AA10" s="143" t="s">
        <v>129</v>
      </c>
      <c r="AB10" s="144"/>
      <c r="AC10" s="144"/>
      <c r="AD10" s="144"/>
      <c r="AE10" s="145"/>
      <c r="AK10" s="1" t="s">
        <v>107</v>
      </c>
    </row>
    <row r="11" spans="1:38" ht="27.6" customHeight="1" x14ac:dyDescent="0.4" outlineLevel="1">
      <c r="A11" s="174"/>
      <c r="B11" s="159" t="s">
        <v>91</v>
      </c>
      <c r="C11" s="160"/>
      <c r="D11" s="161"/>
      <c r="E11" s="40" t="s">
        <v>20</v>
      </c>
      <c r="F11" s="42"/>
      <c r="G11" s="40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2"/>
      <c r="X11" s="40" t="s">
        <v>19</v>
      </c>
      <c r="Y11" s="41"/>
      <c r="Z11" s="42"/>
      <c r="AA11" s="149"/>
      <c r="AB11" s="150"/>
      <c r="AC11" s="150"/>
      <c r="AD11" s="150"/>
      <c r="AE11" s="151"/>
    </row>
    <row r="12" spans="1:38" ht="55.2" customHeight="1" x14ac:dyDescent="0.4" outlineLevel="2">
      <c r="A12" s="174"/>
      <c r="B12" s="162"/>
      <c r="C12" s="163"/>
      <c r="D12" s="164"/>
      <c r="E12" s="40" t="s">
        <v>3</v>
      </c>
      <c r="F12" s="42"/>
      <c r="G12" s="40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2"/>
      <c r="X12" s="40" t="s">
        <v>53</v>
      </c>
      <c r="Y12" s="41"/>
      <c r="Z12" s="42"/>
      <c r="AA12" s="143" t="s">
        <v>54</v>
      </c>
      <c r="AB12" s="144"/>
      <c r="AC12" s="144"/>
      <c r="AD12" s="144"/>
      <c r="AE12" s="145"/>
      <c r="AK12" s="1" t="s">
        <v>252</v>
      </c>
      <c r="AL12" s="1" t="s">
        <v>253</v>
      </c>
      <c r="AM12" s="1" t="s">
        <v>254</v>
      </c>
      <c r="AN12" s="1" t="s">
        <v>255</v>
      </c>
    </row>
    <row r="13" spans="1:38" ht="27.6" customHeight="1" x14ac:dyDescent="0.4" outlineLevel="2">
      <c r="A13" s="174"/>
      <c r="B13" s="162"/>
      <c r="C13" s="163"/>
      <c r="D13" s="164"/>
      <c r="E13" s="40" t="s">
        <v>18</v>
      </c>
      <c r="F13" s="42"/>
      <c r="G13" s="40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2"/>
      <c r="X13" s="40" t="s">
        <v>121</v>
      </c>
      <c r="Y13" s="41"/>
      <c r="Z13" s="42"/>
      <c r="AA13" s="143"/>
      <c r="AB13" s="144"/>
      <c r="AC13" s="144"/>
      <c r="AD13" s="144"/>
      <c r="AE13" s="145"/>
      <c r="AK13" s="1" t="s">
        <v>246</v>
      </c>
      <c r="AL13" s="1" t="s">
        <v>148</v>
      </c>
      <c r="AM13" s="1" t="s">
        <v>250</v>
      </c>
      <c r="AN13" s="1" t="s">
        <v>249</v>
      </c>
    </row>
    <row r="14" spans="1:38" ht="27.6" customHeight="1" x14ac:dyDescent="0.4" outlineLevel="2">
      <c r="A14" s="174"/>
      <c r="B14" s="162"/>
      <c r="C14" s="163"/>
      <c r="D14" s="164"/>
      <c r="E14" s="40" t="s">
        <v>120</v>
      </c>
      <c r="F14" s="42"/>
      <c r="G14" s="40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2"/>
      <c r="X14" s="40" t="s">
        <v>56</v>
      </c>
      <c r="Y14" s="41"/>
      <c r="Z14" s="42"/>
      <c r="AA14" s="143"/>
      <c r="AB14" s="144"/>
      <c r="AC14" s="144"/>
      <c r="AD14" s="144"/>
      <c r="AE14" s="145"/>
      <c r="AK14" s="1" t="s">
        <v>247</v>
      </c>
      <c r="AL14" s="1" t="s">
        <v>249</v>
      </c>
      <c r="AM14" s="1" t="s">
        <v>251</v>
      </c>
    </row>
    <row r="15" spans="1:38" ht="33" customHeight="1" x14ac:dyDescent="0.4" outlineLevel="2">
      <c r="A15" s="174"/>
      <c r="B15" s="162"/>
      <c r="C15" s="163"/>
      <c r="D15" s="164"/>
      <c r="E15" s="40" t="s">
        <v>142</v>
      </c>
      <c r="F15" s="42"/>
      <c r="G15" s="40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2"/>
      <c r="X15" s="40" t="s">
        <v>55</v>
      </c>
      <c r="Y15" s="41"/>
      <c r="Z15" s="42"/>
      <c r="AA15" s="230"/>
      <c r="AB15" s="230"/>
      <c r="AC15" s="230"/>
      <c r="AD15" s="230"/>
      <c r="AE15" s="231"/>
      <c r="AK15" s="1" t="s">
        <v>248</v>
      </c>
    </row>
    <row r="16" spans="1:38" ht="27.6" customHeight="1" x14ac:dyDescent="0.4" outlineLevel="2">
      <c r="A16" s="174"/>
      <c r="B16" s="162"/>
      <c r="C16" s="163"/>
      <c r="D16" s="164"/>
      <c r="E16" s="40" t="s">
        <v>143</v>
      </c>
      <c r="F16" s="42"/>
      <c r="G16" s="40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2"/>
      <c r="X16" s="159" t="s">
        <v>122</v>
      </c>
      <c r="Y16" s="160"/>
      <c r="Z16" s="161"/>
      <c r="AA16" s="149"/>
      <c r="AB16" s="150"/>
      <c r="AC16" s="150"/>
      <c r="AD16" s="150"/>
      <c r="AE16" s="151"/>
    </row>
    <row r="17" spans="1:31" ht="27.6" customHeight="1" x14ac:dyDescent="0.4" outlineLevel="2">
      <c r="A17" s="174"/>
      <c r="B17" s="162"/>
      <c r="C17" s="163"/>
      <c r="D17" s="164"/>
      <c r="E17" s="159" t="s">
        <v>141</v>
      </c>
      <c r="F17" s="161"/>
      <c r="G17" s="225" t="s">
        <v>126</v>
      </c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6"/>
      <c r="X17" s="162"/>
      <c r="Y17" s="163"/>
      <c r="Z17" s="164"/>
      <c r="AA17" s="34"/>
      <c r="AB17" s="7"/>
      <c r="AC17" s="223" t="s">
        <v>124</v>
      </c>
      <c r="AD17" s="223"/>
      <c r="AE17" s="224"/>
    </row>
    <row r="18" spans="1:31" ht="27.6" customHeight="1" x14ac:dyDescent="0.4" outlineLevel="2">
      <c r="A18" s="174"/>
      <c r="B18" s="162"/>
      <c r="C18" s="163"/>
      <c r="D18" s="164"/>
      <c r="E18" s="162"/>
      <c r="F18" s="164"/>
      <c r="G18" s="225" t="s">
        <v>127</v>
      </c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6"/>
      <c r="X18" s="46"/>
      <c r="Y18" s="47"/>
      <c r="Z18" s="172"/>
      <c r="AA18" s="149"/>
      <c r="AB18" s="150"/>
      <c r="AC18" s="150"/>
      <c r="AD18" s="150"/>
      <c r="AE18" s="151"/>
    </row>
    <row r="19" spans="1:31" ht="27.6" customHeight="1" x14ac:dyDescent="0.4" outlineLevel="2">
      <c r="A19" s="174"/>
      <c r="B19" s="46"/>
      <c r="C19" s="47"/>
      <c r="D19" s="172"/>
      <c r="E19" s="46"/>
      <c r="F19" s="172"/>
      <c r="G19" s="225" t="s">
        <v>128</v>
      </c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6"/>
      <c r="X19" s="40" t="s">
        <v>95</v>
      </c>
      <c r="Y19" s="41"/>
      <c r="Z19" s="42"/>
      <c r="AA19" s="227"/>
      <c r="AB19" s="228"/>
      <c r="AC19" s="228"/>
      <c r="AD19" s="229"/>
      <c r="AE19" s="35" t="s">
        <v>115</v>
      </c>
    </row>
    <row r="20" spans="1:31" ht="27.6" customHeight="1" x14ac:dyDescent="0.4" outlineLevel="1">
      <c r="A20" s="174"/>
      <c r="B20" s="40" t="s">
        <v>96</v>
      </c>
      <c r="C20" s="41"/>
      <c r="D20" s="42"/>
      <c r="E20" s="40" t="s">
        <v>97</v>
      </c>
      <c r="F20" s="42"/>
      <c r="G20" s="40"/>
      <c r="H20" s="41"/>
      <c r="I20" s="41"/>
      <c r="J20" s="41"/>
      <c r="K20" s="41"/>
      <c r="L20" s="42"/>
      <c r="M20" s="43" t="s">
        <v>99</v>
      </c>
      <c r="N20" s="43"/>
      <c r="O20" s="43"/>
      <c r="P20" s="40"/>
      <c r="Q20" s="41"/>
      <c r="R20" s="41"/>
      <c r="S20" s="41"/>
      <c r="T20" s="41"/>
      <c r="U20" s="41"/>
      <c r="V20" s="41"/>
      <c r="W20" s="42"/>
      <c r="X20" s="40" t="s">
        <v>98</v>
      </c>
      <c r="Y20" s="41"/>
      <c r="Z20" s="42"/>
      <c r="AA20" s="149"/>
      <c r="AB20" s="150"/>
      <c r="AC20" s="150"/>
      <c r="AD20" s="150"/>
      <c r="AE20" s="151"/>
    </row>
    <row r="21" spans="1:31" ht="27.6" customHeight="1" x14ac:dyDescent="0.4" outlineLevel="1">
      <c r="A21" s="174"/>
      <c r="B21" s="40" t="s">
        <v>51</v>
      </c>
      <c r="C21" s="41"/>
      <c r="D21" s="42"/>
      <c r="E21" s="40" t="s">
        <v>116</v>
      </c>
      <c r="F21" s="42"/>
      <c r="G21" s="213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5"/>
    </row>
    <row r="22" spans="1:31" ht="27.6" customHeight="1" x14ac:dyDescent="0.4" outlineLevel="1">
      <c r="A22" s="174"/>
      <c r="B22" s="49" t="s">
        <v>25</v>
      </c>
      <c r="C22" s="50"/>
      <c r="D22" s="51"/>
      <c r="E22" s="152" t="s">
        <v>78</v>
      </c>
      <c r="F22" s="153"/>
      <c r="G22" s="153"/>
      <c r="H22" s="153"/>
      <c r="I22" s="153"/>
      <c r="J22" s="152" t="s">
        <v>69</v>
      </c>
      <c r="K22" s="153"/>
      <c r="L22" s="153"/>
      <c r="M22" s="153"/>
      <c r="N22" s="153"/>
      <c r="O22" s="153"/>
      <c r="P22" s="153"/>
      <c r="Q22" s="154"/>
      <c r="R22" s="152" t="s">
        <v>67</v>
      </c>
      <c r="S22" s="153"/>
      <c r="T22" s="153"/>
      <c r="U22" s="153"/>
      <c r="V22" s="153"/>
      <c r="W22" s="153"/>
      <c r="X22" s="154"/>
      <c r="Y22" s="153" t="s">
        <v>65</v>
      </c>
      <c r="Z22" s="154"/>
      <c r="AA22" s="152" t="s">
        <v>7</v>
      </c>
      <c r="AB22" s="153"/>
      <c r="AC22" s="153"/>
      <c r="AD22" s="153"/>
      <c r="AE22" s="200"/>
    </row>
    <row r="23" spans="1:31" ht="27.6" customHeight="1" x14ac:dyDescent="0.4" outlineLevel="2">
      <c r="A23" s="174"/>
      <c r="B23" s="52"/>
      <c r="C23" s="53"/>
      <c r="D23" s="54"/>
      <c r="E23" s="68"/>
      <c r="F23" s="69"/>
      <c r="G23" s="69"/>
      <c r="H23" s="69"/>
      <c r="I23" s="23" t="s">
        <v>68</v>
      </c>
      <c r="J23" s="156"/>
      <c r="K23" s="157"/>
      <c r="L23" s="157"/>
      <c r="M23" s="157"/>
      <c r="N23" s="157"/>
      <c r="O23" s="157"/>
      <c r="P23" s="157"/>
      <c r="Q23" s="158"/>
      <c r="R23" s="66"/>
      <c r="S23" s="67"/>
      <c r="T23" s="67"/>
      <c r="U23" s="67"/>
      <c r="V23" s="67"/>
      <c r="W23" s="67"/>
      <c r="X23" s="22" t="s">
        <v>66</v>
      </c>
      <c r="Y23" s="147"/>
      <c r="Z23" s="155"/>
      <c r="AA23" s="146"/>
      <c r="AB23" s="147"/>
      <c r="AC23" s="147"/>
      <c r="AD23" s="147"/>
      <c r="AE23" s="148"/>
    </row>
    <row r="24" spans="1:31" ht="27.6" customHeight="1" x14ac:dyDescent="0.4" outlineLevel="2">
      <c r="A24" s="174"/>
      <c r="B24" s="52"/>
      <c r="C24" s="53"/>
      <c r="D24" s="54"/>
      <c r="E24" s="68"/>
      <c r="F24" s="69"/>
      <c r="G24" s="69"/>
      <c r="H24" s="69"/>
      <c r="I24" s="23" t="s">
        <v>68</v>
      </c>
      <c r="J24" s="156"/>
      <c r="K24" s="157"/>
      <c r="L24" s="157"/>
      <c r="M24" s="157"/>
      <c r="N24" s="157"/>
      <c r="O24" s="157"/>
      <c r="P24" s="157"/>
      <c r="Q24" s="158"/>
      <c r="R24" s="66"/>
      <c r="S24" s="67"/>
      <c r="T24" s="67"/>
      <c r="U24" s="67"/>
      <c r="V24" s="67"/>
      <c r="W24" s="67"/>
      <c r="X24" s="22" t="s">
        <v>66</v>
      </c>
      <c r="Y24" s="147"/>
      <c r="Z24" s="155"/>
      <c r="AA24" s="146"/>
      <c r="AB24" s="147"/>
      <c r="AC24" s="147"/>
      <c r="AD24" s="147"/>
      <c r="AE24" s="148"/>
    </row>
    <row r="25" spans="1:31" ht="27.6" customHeight="1" x14ac:dyDescent="0.4" outlineLevel="2">
      <c r="A25" s="174"/>
      <c r="B25" s="52"/>
      <c r="C25" s="53"/>
      <c r="D25" s="54"/>
      <c r="E25" s="68"/>
      <c r="F25" s="69"/>
      <c r="G25" s="69"/>
      <c r="H25" s="69"/>
      <c r="I25" s="23" t="s">
        <v>68</v>
      </c>
      <c r="J25" s="156"/>
      <c r="K25" s="157"/>
      <c r="L25" s="157"/>
      <c r="M25" s="157"/>
      <c r="N25" s="157"/>
      <c r="O25" s="157"/>
      <c r="P25" s="157"/>
      <c r="Q25" s="158"/>
      <c r="R25" s="66"/>
      <c r="S25" s="67"/>
      <c r="T25" s="67"/>
      <c r="U25" s="67"/>
      <c r="V25" s="67"/>
      <c r="W25" s="67"/>
      <c r="X25" s="22" t="s">
        <v>66</v>
      </c>
      <c r="Y25" s="147"/>
      <c r="Z25" s="155"/>
      <c r="AA25" s="146"/>
      <c r="AB25" s="147"/>
      <c r="AC25" s="147"/>
      <c r="AD25" s="147"/>
      <c r="AE25" s="148"/>
    </row>
    <row r="26" spans="1:31" ht="27.6" customHeight="1" x14ac:dyDescent="0.4" outlineLevel="2">
      <c r="A26" s="174"/>
      <c r="B26" s="52"/>
      <c r="C26" s="53"/>
      <c r="D26" s="54"/>
      <c r="E26" s="68"/>
      <c r="F26" s="69"/>
      <c r="G26" s="69"/>
      <c r="H26" s="69"/>
      <c r="I26" s="23" t="s">
        <v>68</v>
      </c>
      <c r="J26" s="156"/>
      <c r="K26" s="157"/>
      <c r="L26" s="157"/>
      <c r="M26" s="157"/>
      <c r="N26" s="157"/>
      <c r="O26" s="157"/>
      <c r="P26" s="157"/>
      <c r="Q26" s="158"/>
      <c r="R26" s="66"/>
      <c r="S26" s="67"/>
      <c r="T26" s="67"/>
      <c r="U26" s="67"/>
      <c r="V26" s="67"/>
      <c r="W26" s="67"/>
      <c r="X26" s="22" t="s">
        <v>66</v>
      </c>
      <c r="Y26" s="147"/>
      <c r="Z26" s="155"/>
      <c r="AA26" s="146"/>
      <c r="AB26" s="147"/>
      <c r="AC26" s="147"/>
      <c r="AD26" s="147"/>
      <c r="AE26" s="148"/>
    </row>
    <row r="27" spans="1:31" ht="27.6" customHeight="1" x14ac:dyDescent="0.4" outlineLevel="2">
      <c r="A27" s="174"/>
      <c r="B27" s="52"/>
      <c r="C27" s="53"/>
      <c r="D27" s="54"/>
      <c r="E27" s="68"/>
      <c r="F27" s="69"/>
      <c r="G27" s="69"/>
      <c r="H27" s="69"/>
      <c r="I27" s="23" t="s">
        <v>68</v>
      </c>
      <c r="J27" s="156"/>
      <c r="K27" s="157"/>
      <c r="L27" s="157"/>
      <c r="M27" s="157"/>
      <c r="N27" s="157"/>
      <c r="O27" s="157"/>
      <c r="P27" s="157"/>
      <c r="Q27" s="158"/>
      <c r="R27" s="66"/>
      <c r="S27" s="67"/>
      <c r="T27" s="67"/>
      <c r="U27" s="67"/>
      <c r="V27" s="67"/>
      <c r="W27" s="67"/>
      <c r="X27" s="22" t="s">
        <v>66</v>
      </c>
      <c r="Y27" s="147"/>
      <c r="Z27" s="155"/>
      <c r="AA27" s="146"/>
      <c r="AB27" s="147"/>
      <c r="AC27" s="147"/>
      <c r="AD27" s="147"/>
      <c r="AE27" s="148"/>
    </row>
    <row r="28" spans="1:31" ht="27.6" customHeight="1" x14ac:dyDescent="0.4" outlineLevel="2">
      <c r="A28" s="174"/>
      <c r="B28" s="84"/>
      <c r="C28" s="74"/>
      <c r="D28" s="85"/>
      <c r="E28" s="68"/>
      <c r="F28" s="69"/>
      <c r="G28" s="69"/>
      <c r="H28" s="69"/>
      <c r="I28" s="23" t="s">
        <v>68</v>
      </c>
      <c r="J28" s="156"/>
      <c r="K28" s="157"/>
      <c r="L28" s="157"/>
      <c r="M28" s="157"/>
      <c r="N28" s="157"/>
      <c r="O28" s="157"/>
      <c r="P28" s="157"/>
      <c r="Q28" s="158"/>
      <c r="R28" s="66"/>
      <c r="S28" s="67"/>
      <c r="T28" s="67"/>
      <c r="U28" s="67"/>
      <c r="V28" s="67"/>
      <c r="W28" s="67"/>
      <c r="X28" s="22" t="s">
        <v>66</v>
      </c>
      <c r="Y28" s="147"/>
      <c r="Z28" s="155"/>
      <c r="AA28" s="146"/>
      <c r="AB28" s="147"/>
      <c r="AC28" s="147"/>
      <c r="AD28" s="147"/>
      <c r="AE28" s="148"/>
    </row>
    <row r="29" spans="1:31" ht="27.6" customHeight="1" x14ac:dyDescent="0.4" outlineLevel="1">
      <c r="A29" s="174"/>
      <c r="B29" s="40" t="s">
        <v>133</v>
      </c>
      <c r="C29" s="41"/>
      <c r="D29" s="42"/>
      <c r="E29" s="43" t="s">
        <v>134</v>
      </c>
      <c r="F29" s="43"/>
      <c r="G29" s="43"/>
      <c r="H29" s="43"/>
      <c r="I29" s="43"/>
      <c r="J29" s="168"/>
      <c r="K29" s="169"/>
      <c r="L29" s="169"/>
      <c r="M29" s="169"/>
      <c r="N29" s="169"/>
      <c r="O29" s="214" t="s">
        <v>114</v>
      </c>
      <c r="P29" s="214"/>
      <c r="Q29" s="216"/>
      <c r="R29" s="43"/>
      <c r="S29" s="43"/>
      <c r="T29" s="43"/>
      <c r="U29" s="43"/>
      <c r="V29" s="43"/>
      <c r="W29" s="43"/>
      <c r="X29" s="43"/>
      <c r="Y29" s="40"/>
      <c r="Z29" s="42"/>
      <c r="AA29" s="40"/>
      <c r="AB29" s="41"/>
      <c r="AC29" s="41"/>
      <c r="AD29" s="41"/>
      <c r="AE29" s="191"/>
    </row>
    <row r="30" spans="1:31" ht="136.80000000000001" customHeight="1" x14ac:dyDescent="0.4" outlineLevel="1">
      <c r="A30" s="174"/>
      <c r="B30" s="40" t="s">
        <v>50</v>
      </c>
      <c r="C30" s="41"/>
      <c r="D30" s="42"/>
      <c r="E30" s="175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176"/>
      <c r="Z30" s="176"/>
      <c r="AA30" s="176"/>
      <c r="AB30" s="176"/>
      <c r="AC30" s="176"/>
      <c r="AD30" s="176"/>
      <c r="AE30" s="177"/>
    </row>
    <row r="31" spans="1:31" ht="27.6" customHeight="1" x14ac:dyDescent="0.4" outlineLevel="1">
      <c r="A31" s="32"/>
      <c r="B31" s="49" t="s">
        <v>92</v>
      </c>
      <c r="C31" s="50"/>
      <c r="D31" s="51"/>
      <c r="E31" s="55" t="s">
        <v>158</v>
      </c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7"/>
    </row>
    <row r="32" spans="1:31" ht="27.6" customHeight="1" x14ac:dyDescent="0.4" outlineLevel="2">
      <c r="A32" s="32"/>
      <c r="B32" s="52"/>
      <c r="C32" s="53"/>
      <c r="D32" s="54"/>
      <c r="E32" s="55" t="s">
        <v>159</v>
      </c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7"/>
    </row>
    <row r="33" spans="1:35" ht="27.6" customHeight="1" x14ac:dyDescent="0.4" outlineLevel="2">
      <c r="A33" s="32"/>
      <c r="B33" s="52"/>
      <c r="C33" s="53"/>
      <c r="D33" s="54"/>
      <c r="E33" s="55" t="inlineStr">
        <is>
          <t xml:space="preserve">   ▣ 출연 : </t>
        </is>
      </c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7"/>
    </row>
    <row r="34" spans="1:35" ht="27.6" customHeight="1" x14ac:dyDescent="0.4" outlineLevel="1">
      <c r="A34" s="32"/>
      <c r="B34" s="49" t="s">
        <v>93</v>
      </c>
      <c r="C34" s="50"/>
      <c r="D34" s="51"/>
      <c r="E34" s="55" t="s">
        <v>161</v>
      </c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7"/>
    </row>
    <row r="35" spans="1:35" ht="27.6" customHeight="1" x14ac:dyDescent="0.4" outlineLevel="2">
      <c r="A35" s="32"/>
      <c r="B35" s="52"/>
      <c r="C35" s="53"/>
      <c r="D35" s="54"/>
      <c r="E35" s="55" t="s">
        <v>162</v>
      </c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7"/>
    </row>
    <row r="36" spans="1:35" ht="27.6" customHeight="1" x14ac:dyDescent="0.4" outlineLevel="2">
      <c r="A36" s="32"/>
      <c r="B36" s="52"/>
      <c r="C36" s="53"/>
      <c r="D36" s="54"/>
      <c r="E36" s="55" t="s">
        <v>87</v>
      </c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7"/>
    </row>
    <row r="37" spans="1:35" ht="27.6" customHeight="1" x14ac:dyDescent="0.4" outlineLevel="2">
      <c r="A37" s="32"/>
      <c r="B37" s="52"/>
      <c r="C37" s="53"/>
      <c r="D37" s="54"/>
      <c r="E37" s="58" t="s">
        <v>163</v>
      </c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60"/>
    </row>
    <row r="38" spans="1:35" ht="27.6" customHeight="1" x14ac:dyDescent="0.4">
      <c r="A38" s="73" t="s">
        <v>89</v>
      </c>
      <c r="B38" s="210" t="s">
        <v>2</v>
      </c>
      <c r="C38" s="211"/>
      <c r="D38" s="212"/>
      <c r="E38" s="204" t="s">
        <v>164</v>
      </c>
      <c r="F38" s="205"/>
      <c r="G38" s="205"/>
      <c r="H38" s="205"/>
      <c r="I38" s="206"/>
      <c r="J38" s="196" t="s">
        <v>26</v>
      </c>
      <c r="K38" s="197"/>
      <c r="L38" s="197"/>
      <c r="M38" s="197"/>
      <c r="N38" s="198"/>
      <c r="O38" s="197" t="s">
        <v>165</v>
      </c>
      <c r="P38" s="197"/>
      <c r="Q38" s="197"/>
      <c r="R38" s="197"/>
      <c r="S38" s="197"/>
      <c r="T38" s="197"/>
      <c r="U38" s="197"/>
      <c r="V38" s="197"/>
      <c r="W38" s="198"/>
      <c r="X38" s="196" t="s">
        <v>27</v>
      </c>
      <c r="Y38" s="197"/>
      <c r="Z38" s="198"/>
      <c r="AA38" s="196" t="s">
        <v>166</v>
      </c>
      <c r="AB38" s="197"/>
      <c r="AC38" s="197"/>
      <c r="AD38" s="197"/>
      <c r="AE38" s="199"/>
    </row>
    <row r="39" spans="1:35" ht="27.6" customHeight="1" x14ac:dyDescent="0.4" outlineLevel="1">
      <c r="A39" s="53"/>
      <c r="B39" s="61" t="s">
        <v>12</v>
      </c>
      <c r="C39" s="62"/>
      <c r="D39" s="63"/>
      <c r="E39" s="86" t="s">
        <v>168</v>
      </c>
      <c r="F39" s="87"/>
      <c r="G39" s="87"/>
      <c r="H39" s="87"/>
      <c r="I39" s="93"/>
      <c r="J39" s="193" t="s">
        <v>28</v>
      </c>
      <c r="K39" s="182"/>
      <c r="L39" s="182"/>
      <c r="M39" s="182"/>
      <c r="N39" s="194"/>
      <c r="O39" s="64" t="inlineStr">
        <is>
          <t xml:space="preserve">사무실: 061-808-7003
휴대폰: </t>
        </is>
      </c>
      <c r="P39" s="64"/>
      <c r="Q39" s="64"/>
      <c r="R39" s="64"/>
      <c r="S39" s="64"/>
      <c r="T39" s="64"/>
      <c r="U39" s="64"/>
      <c r="V39" s="64"/>
      <c r="W39" s="65"/>
      <c r="X39" s="193" t="s">
        <v>29</v>
      </c>
      <c r="Y39" s="182"/>
      <c r="Z39" s="194"/>
      <c r="AA39" s="192"/>
      <c r="AB39" s="182"/>
      <c r="AC39" s="182"/>
      <c r="AD39" s="182"/>
      <c r="AE39" s="183"/>
    </row>
    <row r="40" spans="1:35" ht="27.6" customHeight="1" x14ac:dyDescent="0.4" outlineLevel="1">
      <c r="A40" s="53"/>
      <c r="B40" s="61" t="s">
        <v>14</v>
      </c>
      <c r="C40" s="62"/>
      <c r="D40" s="63"/>
      <c r="E40" s="86" t="s">
        <v>167</v>
      </c>
      <c r="F40" s="87"/>
      <c r="G40" s="87"/>
      <c r="H40" s="87"/>
      <c r="I40" s="93"/>
      <c r="J40" s="193" t="s">
        <v>28</v>
      </c>
      <c r="K40" s="182"/>
      <c r="L40" s="182"/>
      <c r="M40" s="182"/>
      <c r="N40" s="194"/>
      <c r="O40" s="64" t="inlineStr">
        <is>
          <t xml:space="preserve">사무실: 061-808-7007
휴대폰: </t>
        </is>
      </c>
      <c r="P40" s="64"/>
      <c r="Q40" s="64"/>
      <c r="R40" s="64"/>
      <c r="S40" s="64"/>
      <c r="T40" s="64"/>
      <c r="U40" s="64"/>
      <c r="V40" s="64"/>
      <c r="W40" s="65"/>
      <c r="X40" s="193" t="s">
        <v>29</v>
      </c>
      <c r="Y40" s="182"/>
      <c r="Z40" s="194"/>
      <c r="AA40" s="181"/>
      <c r="AB40" s="182"/>
      <c r="AC40" s="182"/>
      <c r="AD40" s="182"/>
      <c r="AE40" s="183"/>
    </row>
    <row r="41" spans="1:35" ht="27.6" customHeight="1" x14ac:dyDescent="0.4" outlineLevel="1">
      <c r="A41" s="53"/>
      <c r="B41" s="193" t="s">
        <v>13</v>
      </c>
      <c r="C41" s="182"/>
      <c r="D41" s="194"/>
      <c r="E41" s="86" t="s">
        <v>173</v>
      </c>
      <c r="F41" s="87"/>
      <c r="G41" s="87"/>
      <c r="H41" s="87"/>
      <c r="I41" s="93"/>
      <c r="J41" s="61" t="s">
        <v>30</v>
      </c>
      <c r="K41" s="62"/>
      <c r="L41" s="62"/>
      <c r="M41" s="62"/>
      <c r="N41" s="63"/>
      <c r="O41" s="207" t="s">
        <v>174</v>
      </c>
      <c r="P41" s="208"/>
      <c r="Q41" s="208"/>
      <c r="R41" s="208"/>
      <c r="S41" s="208"/>
      <c r="T41" s="208"/>
      <c r="U41" s="208"/>
      <c r="V41" s="208"/>
      <c r="W41" s="209"/>
      <c r="X41" s="193" t="s">
        <v>31</v>
      </c>
      <c r="Y41" s="182"/>
      <c r="Z41" s="194"/>
      <c r="AA41" s="87" t="s">
        <v>174</v>
      </c>
      <c r="AB41" s="87"/>
      <c r="AC41" s="87"/>
      <c r="AD41" s="87"/>
      <c r="AE41" s="195"/>
    </row>
    <row r="42" spans="1:35" ht="27.6" customHeight="1" x14ac:dyDescent="0.4" outlineLevel="1">
      <c r="A42" s="53"/>
      <c r="B42" s="201" t="s">
        <v>32</v>
      </c>
      <c r="C42" s="202"/>
      <c r="D42" s="203"/>
      <c r="E42" s="184" t="s">
        <v>175</v>
      </c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6"/>
      <c r="X42" s="187" t="s">
        <v>46</v>
      </c>
      <c r="Y42" s="188"/>
      <c r="Z42" s="189"/>
      <c r="AA42" s="184">
        <v>59691</v>
      </c>
      <c r="AB42" s="185"/>
      <c r="AC42" s="185"/>
      <c r="AD42" s="185"/>
      <c r="AE42" s="190"/>
    </row>
    <row r="43" spans="1:35" ht="27.6" customHeight="1" x14ac:dyDescent="0.4" outlineLevel="1">
      <c r="A43" s="74"/>
      <c r="B43" s="70" t="s">
        <v>90</v>
      </c>
      <c r="C43" s="71"/>
      <c r="D43" s="72"/>
      <c r="E43" s="46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8"/>
      <c r="AI43" s="33"/>
    </row>
    <row r="44" spans="1:35" ht="27.6" customHeight="1" x14ac:dyDescent="0.4">
      <c r="A44" s="44" t="s">
        <v>94</v>
      </c>
      <c r="B44" s="45"/>
      <c r="C44" s="45"/>
      <c r="D44" s="45"/>
      <c r="E44" s="46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8"/>
      <c r="AI44" s="33"/>
    </row>
    <row r="45" spans="1:35" ht="27.6" customHeight="1" x14ac:dyDescent="0.4">
      <c r="A45" s="117" t="s">
        <v>64</v>
      </c>
      <c r="B45" s="119" t="s">
        <v>21</v>
      </c>
      <c r="C45" s="120"/>
      <c r="D45" s="121"/>
      <c r="E45" s="125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7"/>
      <c r="AH45" s="21"/>
    </row>
    <row r="46" spans="1:35" ht="27.6" customHeight="1" x14ac:dyDescent="0.4" outlineLevel="1">
      <c r="A46" s="117"/>
      <c r="B46" s="49" t="s">
        <v>61</v>
      </c>
      <c r="C46" s="50"/>
      <c r="D46" s="51"/>
      <c r="E46" s="86"/>
      <c r="F46" s="87"/>
      <c r="G46" s="87"/>
      <c r="H46" s="87"/>
      <c r="I46" s="87"/>
      <c r="J46" s="87"/>
      <c r="K46" s="87"/>
      <c r="L46" s="87"/>
      <c r="M46" s="87"/>
      <c r="N46" s="93"/>
      <c r="O46" s="89" t="s">
        <v>73</v>
      </c>
      <c r="P46" s="90"/>
      <c r="Q46" s="90"/>
      <c r="R46" s="90"/>
      <c r="S46" s="90"/>
      <c r="T46" s="90"/>
      <c r="U46" s="90"/>
      <c r="V46" s="90"/>
      <c r="W46" s="91"/>
      <c r="X46" s="86"/>
      <c r="Y46" s="87"/>
      <c r="Z46" s="87"/>
      <c r="AA46" s="87"/>
      <c r="AB46" s="87"/>
      <c r="AC46" s="87"/>
      <c r="AD46" s="87"/>
      <c r="AE46" s="88"/>
    </row>
    <row r="47" spans="1:35" ht="27.6" customHeight="1" x14ac:dyDescent="0.4" outlineLevel="1">
      <c r="A47" s="117"/>
      <c r="B47" s="49" t="s">
        <v>72</v>
      </c>
      <c r="C47" s="50"/>
      <c r="D47" s="51"/>
      <c r="E47" s="27" t="s">
        <v>74</v>
      </c>
      <c r="F47" s="26" t="s">
        <v>85</v>
      </c>
      <c r="G47" s="19">
        <v>5</v>
      </c>
      <c r="H47" s="24" t="s">
        <v>79</v>
      </c>
      <c r="I47" s="24"/>
      <c r="J47" s="24" t="s">
        <v>80</v>
      </c>
      <c r="K47" s="94" t="s">
        <v>83</v>
      </c>
      <c r="L47" s="94"/>
      <c r="M47" s="19">
        <v>7</v>
      </c>
      <c r="N47" s="25" t="s">
        <v>79</v>
      </c>
      <c r="O47" s="89" t="s">
        <v>123</v>
      </c>
      <c r="P47" s="90"/>
      <c r="Q47" s="90"/>
      <c r="R47" s="90"/>
      <c r="S47" s="90"/>
      <c r="T47" s="90"/>
      <c r="U47" s="90"/>
      <c r="V47" s="90"/>
      <c r="W47" s="91"/>
      <c r="X47" s="86" t="s">
        <v>88</v>
      </c>
      <c r="Y47" s="87"/>
      <c r="Z47" s="87"/>
      <c r="AA47" s="87"/>
      <c r="AB47" s="87"/>
      <c r="AC47" s="87"/>
      <c r="AD47" s="87"/>
      <c r="AE47" s="88"/>
    </row>
    <row r="48" spans="1:35" ht="27.6" customHeight="1" x14ac:dyDescent="0.4" outlineLevel="1">
      <c r="A48" s="117"/>
      <c r="B48" s="84"/>
      <c r="C48" s="74"/>
      <c r="D48" s="85"/>
      <c r="E48" s="27" t="s">
        <v>71</v>
      </c>
      <c r="F48" s="26" t="s">
        <v>85</v>
      </c>
      <c r="G48" s="19">
        <v>5</v>
      </c>
      <c r="H48" s="24" t="s">
        <v>79</v>
      </c>
      <c r="I48" s="24"/>
      <c r="J48" s="24" t="s">
        <v>80</v>
      </c>
      <c r="K48" s="94" t="s">
        <v>84</v>
      </c>
      <c r="L48" s="94"/>
      <c r="M48" s="19">
        <v>5</v>
      </c>
      <c r="N48" s="25" t="s">
        <v>79</v>
      </c>
      <c r="O48" s="92" t="s">
        <v>77</v>
      </c>
      <c r="P48" s="90"/>
      <c r="Q48" s="90"/>
      <c r="R48" s="90"/>
      <c r="S48" s="90"/>
      <c r="T48" s="90"/>
      <c r="U48" s="90"/>
      <c r="V48" s="90"/>
      <c r="W48" s="91"/>
      <c r="X48" s="18"/>
      <c r="Y48" s="19"/>
      <c r="Z48" s="19"/>
      <c r="AA48" s="19"/>
      <c r="AB48" s="19"/>
      <c r="AC48" s="19"/>
      <c r="AD48" s="19"/>
      <c r="AE48" s="20"/>
    </row>
    <row r="49" spans="1:31" ht="27.6" customHeight="1" x14ac:dyDescent="0.4" outlineLevel="1">
      <c r="A49" s="117"/>
      <c r="B49" s="122" t="s">
        <v>75</v>
      </c>
      <c r="C49" s="123"/>
      <c r="D49" s="124"/>
      <c r="E49" s="134" t="s">
        <v>76</v>
      </c>
      <c r="F49" s="99"/>
      <c r="G49" s="95"/>
      <c r="H49" s="95"/>
      <c r="I49" s="95"/>
      <c r="J49" s="95"/>
      <c r="K49" s="95"/>
      <c r="L49" s="95"/>
      <c r="M49" s="95"/>
      <c r="N49" s="100"/>
      <c r="O49" s="134" t="s">
        <v>111</v>
      </c>
      <c r="P49" s="136"/>
      <c r="Q49" s="136"/>
      <c r="R49" s="136"/>
      <c r="S49" s="136"/>
      <c r="T49" s="136"/>
      <c r="U49" s="136"/>
      <c r="V49" s="136"/>
      <c r="W49" s="136"/>
      <c r="X49" s="99"/>
      <c r="Y49" s="95"/>
      <c r="Z49" s="95"/>
      <c r="AA49" s="95"/>
      <c r="AB49" s="95"/>
      <c r="AC49" s="95"/>
      <c r="AD49" s="95"/>
      <c r="AE49" s="104"/>
    </row>
    <row r="50" spans="1:31" ht="27.6" customHeight="1" x14ac:dyDescent="0.4" outlineLevel="1">
      <c r="A50" s="117"/>
      <c r="B50" s="131"/>
      <c r="C50" s="132"/>
      <c r="D50" s="133"/>
      <c r="E50" s="135"/>
      <c r="F50" s="28" t="s">
        <v>85</v>
      </c>
      <c r="G50" s="29">
        <v>7</v>
      </c>
      <c r="H50" s="30" t="s">
        <v>81</v>
      </c>
      <c r="I50" s="29"/>
      <c r="J50" s="29" t="s">
        <v>82</v>
      </c>
      <c r="K50" s="95" t="s">
        <v>86</v>
      </c>
      <c r="L50" s="95"/>
      <c r="M50" s="29">
        <v>7</v>
      </c>
      <c r="N50" s="31" t="s">
        <v>81</v>
      </c>
      <c r="O50" s="135"/>
      <c r="P50" s="137"/>
      <c r="Q50" s="137"/>
      <c r="R50" s="137"/>
      <c r="S50" s="137"/>
      <c r="T50" s="137"/>
      <c r="U50" s="137"/>
      <c r="V50" s="137"/>
      <c r="W50" s="137"/>
      <c r="X50" s="101" t="s">
        <v>135</v>
      </c>
      <c r="Y50" s="102"/>
      <c r="Z50" s="102"/>
      <c r="AA50" s="102"/>
      <c r="AB50" s="102"/>
      <c r="AC50" s="102"/>
      <c r="AD50" s="102"/>
      <c r="AE50" s="103"/>
    </row>
    <row r="51" spans="1:31" ht="27.6" customHeight="1" x14ac:dyDescent="0.4" outlineLevel="1">
      <c r="A51" s="117"/>
      <c r="B51" s="49" t="s">
        <v>63</v>
      </c>
      <c r="C51" s="50"/>
      <c r="D51" s="51"/>
      <c r="E51" s="86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8"/>
    </row>
    <row r="52" spans="1:31" ht="27.6" customHeight="1" x14ac:dyDescent="0.4" outlineLevel="1">
      <c r="A52" s="118"/>
      <c r="B52" s="122" t="s">
        <v>62</v>
      </c>
      <c r="C52" s="123"/>
      <c r="D52" s="124"/>
      <c r="E52" s="96" t="s">
        <v>176</v>
      </c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8"/>
    </row>
    <row r="53" spans="1:31" ht="27.6" customHeight="1" x14ac:dyDescent="0.4">
      <c r="A53" s="128" t="s">
        <v>22</v>
      </c>
      <c r="B53" s="40" t="s">
        <v>52</v>
      </c>
      <c r="C53" s="41"/>
      <c r="D53" s="42"/>
      <c r="E53" s="81" t="s">
        <v>34</v>
      </c>
      <c r="F53" s="82"/>
      <c r="G53" s="82"/>
      <c r="H53" s="82"/>
      <c r="I53" s="82"/>
      <c r="J53" s="82"/>
      <c r="K53" s="106"/>
      <c r="L53" s="114" t="s">
        <v>48</v>
      </c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6"/>
      <c r="X53" s="81" t="s">
        <v>47</v>
      </c>
      <c r="Y53" s="82"/>
      <c r="Z53" s="82"/>
      <c r="AA53" s="82"/>
      <c r="AB53" s="82"/>
      <c r="AC53" s="82"/>
      <c r="AD53" s="82"/>
      <c r="AE53" s="83"/>
    </row>
    <row r="54" spans="1:31" ht="27.6" customHeight="1" x14ac:dyDescent="0.4" outlineLevel="1">
      <c r="A54" s="129"/>
      <c r="B54" s="138" t="s">
        <v>57</v>
      </c>
      <c r="C54" s="139"/>
      <c r="D54" s="140"/>
      <c r="E54" s="107"/>
      <c r="F54" s="108"/>
      <c r="G54" s="108"/>
      <c r="H54" s="108"/>
      <c r="I54" s="108"/>
      <c r="J54" s="108"/>
      <c r="K54" s="109"/>
      <c r="L54" s="110" t="s">
        <v>70</v>
      </c>
      <c r="M54" s="108"/>
      <c r="N54" s="108"/>
      <c r="O54" s="108"/>
      <c r="P54" s="109"/>
      <c r="Q54" s="111"/>
      <c r="R54" s="112"/>
      <c r="S54" s="112"/>
      <c r="T54" s="112"/>
      <c r="U54" s="112"/>
      <c r="V54" s="112"/>
      <c r="W54" s="113"/>
      <c r="X54" s="110" t="s">
        <v>33</v>
      </c>
      <c r="Y54" s="108"/>
      <c r="Z54" s="109"/>
      <c r="AA54" s="81"/>
      <c r="AB54" s="82"/>
      <c r="AC54" s="82"/>
      <c r="AD54" s="82"/>
      <c r="AE54" s="83"/>
    </row>
    <row r="55" spans="1:31" ht="41.25" customHeight="1" thickBot="1" x14ac:dyDescent="0.45">
      <c r="A55" s="141" t="s">
        <v>59</v>
      </c>
      <c r="B55" s="142"/>
      <c r="C55" s="142"/>
      <c r="D55" s="142"/>
      <c r="E55" s="75" t="s">
        <v>60</v>
      </c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7"/>
      <c r="AA55" s="78"/>
      <c r="AB55" s="79"/>
      <c r="AC55" s="79"/>
      <c r="AD55" s="79"/>
      <c r="AE55" s="80"/>
    </row>
    <row r="56" spans="1:31" ht="13.5" customHeight="1" x14ac:dyDescent="0.4">
      <c r="A56" s="10"/>
      <c r="B56" s="10"/>
      <c r="C56" s="10"/>
      <c r="D56" s="1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2"/>
      <c r="R56" s="12"/>
      <c r="S56" s="12"/>
      <c r="T56" s="12"/>
      <c r="U56" s="12"/>
      <c r="V56" s="12"/>
      <c r="W56" s="12"/>
      <c r="X56" s="11"/>
      <c r="Y56" s="11"/>
      <c r="Z56" s="11"/>
      <c r="AA56" s="13"/>
      <c r="AB56" s="13"/>
      <c r="AC56" s="13"/>
      <c r="AD56" s="13"/>
      <c r="AE56" s="13"/>
    </row>
    <row r="57" spans="1:31" s="9" customFormat="1" ht="17.100000000000001" customHeight="1" x14ac:dyDescent="0.4">
      <c r="A57" s="36" t="s">
        <v>58</v>
      </c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:31" s="9" customFormat="1" ht="17.100000000000001" customHeight="1" x14ac:dyDescent="0.4" outlineLevel="1">
      <c r="A58" s="130" t="s">
        <v>49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4"/>
    </row>
    <row r="59" spans="1:31" s="9" customFormat="1" ht="17.100000000000001" customHeight="1" x14ac:dyDescent="0.4" outlineLevel="1">
      <c r="A59" s="105" t="s">
        <v>43</v>
      </c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</row>
    <row r="60" spans="1:31" s="9" customFormat="1" ht="17.100000000000001" customHeight="1" x14ac:dyDescent="0.4" outlineLevel="1">
      <c r="A60" s="105" t="s">
        <v>42</v>
      </c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</row>
    <row r="61" spans="1:31" s="9" customFormat="1" ht="17.100000000000001" customHeight="1" x14ac:dyDescent="0.4" outlineLevel="1">
      <c r="A61" s="105" t="s">
        <v>45</v>
      </c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</row>
    <row r="62" spans="1:31" s="9" customFormat="1" ht="17.100000000000001" customHeight="1" x14ac:dyDescent="0.4" outlineLevel="1">
      <c r="A62" s="105" t="s">
        <v>44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  <c r="AA62" s="105"/>
      <c r="AB62" s="105"/>
      <c r="AC62" s="105"/>
      <c r="AD62" s="105"/>
      <c r="AE62" s="105"/>
    </row>
  </sheetData>
  <mergeCells count="205">
    <mergeCell ref="E21:F21"/>
    <mergeCell ref="G21:AE21"/>
    <mergeCell ref="O29:Q29"/>
    <mergeCell ref="J29:N29"/>
    <mergeCell ref="A1:AE2"/>
    <mergeCell ref="A3:F3"/>
    <mergeCell ref="W3:AE3"/>
    <mergeCell ref="AC17:AE17"/>
    <mergeCell ref="E17:F19"/>
    <mergeCell ref="B11:D19"/>
    <mergeCell ref="G17:W17"/>
    <mergeCell ref="G18:W18"/>
    <mergeCell ref="G19:W19"/>
    <mergeCell ref="X16:Z18"/>
    <mergeCell ref="X19:Z19"/>
    <mergeCell ref="AA19:AD19"/>
    <mergeCell ref="AA6:AB6"/>
    <mergeCell ref="G10:W10"/>
    <mergeCell ref="E15:F15"/>
    <mergeCell ref="G15:W15"/>
    <mergeCell ref="G14:W14"/>
    <mergeCell ref="P20:W20"/>
    <mergeCell ref="AA20:AE20"/>
    <mergeCell ref="AA15:AE15"/>
    <mergeCell ref="X40:Z40"/>
    <mergeCell ref="E29:I29"/>
    <mergeCell ref="R29:X29"/>
    <mergeCell ref="B29:D29"/>
    <mergeCell ref="E38:I38"/>
    <mergeCell ref="J38:N38"/>
    <mergeCell ref="O38:W38"/>
    <mergeCell ref="B41:D41"/>
    <mergeCell ref="B39:D39"/>
    <mergeCell ref="X39:Z39"/>
    <mergeCell ref="O40:W40"/>
    <mergeCell ref="O41:W41"/>
    <mergeCell ref="E39:I39"/>
    <mergeCell ref="E40:I40"/>
    <mergeCell ref="J39:N39"/>
    <mergeCell ref="J40:N40"/>
    <mergeCell ref="B38:D38"/>
    <mergeCell ref="J25:Q25"/>
    <mergeCell ref="B21:D21"/>
    <mergeCell ref="R24:W24"/>
    <mergeCell ref="R25:W25"/>
    <mergeCell ref="AA40:AE40"/>
    <mergeCell ref="E42:W42"/>
    <mergeCell ref="X42:Z42"/>
    <mergeCell ref="AA42:AE42"/>
    <mergeCell ref="AA29:AE29"/>
    <mergeCell ref="Y29:Z29"/>
    <mergeCell ref="AA39:AE39"/>
    <mergeCell ref="X41:Z41"/>
    <mergeCell ref="AA41:AE41"/>
    <mergeCell ref="E25:H25"/>
    <mergeCell ref="E26:H26"/>
    <mergeCell ref="E27:H27"/>
    <mergeCell ref="E28:H28"/>
    <mergeCell ref="X38:Z38"/>
    <mergeCell ref="AA38:AE38"/>
    <mergeCell ref="J28:Q28"/>
    <mergeCell ref="AA22:AE22"/>
    <mergeCell ref="AA23:AE23"/>
    <mergeCell ref="B42:D42"/>
    <mergeCell ref="E41:I41"/>
    <mergeCell ref="A4:A30"/>
    <mergeCell ref="AA24:AE24"/>
    <mergeCell ref="AA25:AE25"/>
    <mergeCell ref="AA26:AE26"/>
    <mergeCell ref="AA27:AE27"/>
    <mergeCell ref="X6:Z6"/>
    <mergeCell ref="B22:D28"/>
    <mergeCell ref="B30:D30"/>
    <mergeCell ref="E30:AE30"/>
    <mergeCell ref="Y28:Z28"/>
    <mergeCell ref="R28:W28"/>
    <mergeCell ref="E24:H24"/>
    <mergeCell ref="J27:Q27"/>
    <mergeCell ref="E7:F7"/>
    <mergeCell ref="E8:F8"/>
    <mergeCell ref="R22:X22"/>
    <mergeCell ref="X11:Z11"/>
    <mergeCell ref="Y23:Z23"/>
    <mergeCell ref="Y24:Z24"/>
    <mergeCell ref="AB7:AC7"/>
    <mergeCell ref="G6:W6"/>
    <mergeCell ref="E6:F6"/>
    <mergeCell ref="G7:W7"/>
    <mergeCell ref="G8:W8"/>
    <mergeCell ref="B4:D8"/>
    <mergeCell ref="X7:Z7"/>
    <mergeCell ref="X8:Z8"/>
    <mergeCell ref="E4:F4"/>
    <mergeCell ref="E5:F5"/>
    <mergeCell ref="E16:F16"/>
    <mergeCell ref="G4:AE4"/>
    <mergeCell ref="G5:AE5"/>
    <mergeCell ref="AA8:AB8"/>
    <mergeCell ref="AA11:AE11"/>
    <mergeCell ref="AA12:AE12"/>
    <mergeCell ref="G16:W16"/>
    <mergeCell ref="AD6:AE6"/>
    <mergeCell ref="G13:W13"/>
    <mergeCell ref="B9:D10"/>
    <mergeCell ref="X13:Z13"/>
    <mergeCell ref="AA10:AE10"/>
    <mergeCell ref="G9:W9"/>
    <mergeCell ref="E9:F9"/>
    <mergeCell ref="X9:Z9"/>
    <mergeCell ref="AA9:AE9"/>
    <mergeCell ref="E10:F10"/>
    <mergeCell ref="X10:Z10"/>
    <mergeCell ref="X15:Z15"/>
    <mergeCell ref="AA13:AE13"/>
    <mergeCell ref="E11:F11"/>
    <mergeCell ref="E12:F12"/>
    <mergeCell ref="E13:F13"/>
    <mergeCell ref="AA28:AE28"/>
    <mergeCell ref="AA16:AE16"/>
    <mergeCell ref="J22:Q22"/>
    <mergeCell ref="E22:I22"/>
    <mergeCell ref="Y25:Z25"/>
    <mergeCell ref="Y26:Z26"/>
    <mergeCell ref="Y27:Z27"/>
    <mergeCell ref="Y22:Z22"/>
    <mergeCell ref="R26:W26"/>
    <mergeCell ref="R23:W23"/>
    <mergeCell ref="G11:W11"/>
    <mergeCell ref="G12:W12"/>
    <mergeCell ref="E14:F14"/>
    <mergeCell ref="X14:Z14"/>
    <mergeCell ref="AA14:AE14"/>
    <mergeCell ref="X12:Z12"/>
    <mergeCell ref="AA18:AE18"/>
    <mergeCell ref="J26:Q26"/>
    <mergeCell ref="J23:Q23"/>
    <mergeCell ref="J24:Q24"/>
    <mergeCell ref="A62:AE62"/>
    <mergeCell ref="E53:K53"/>
    <mergeCell ref="E54:K54"/>
    <mergeCell ref="L54:P54"/>
    <mergeCell ref="Q54:W54"/>
    <mergeCell ref="X54:Z54"/>
    <mergeCell ref="L53:W53"/>
    <mergeCell ref="X53:AE53"/>
    <mergeCell ref="A45:A52"/>
    <mergeCell ref="B45:D45"/>
    <mergeCell ref="B52:D52"/>
    <mergeCell ref="E45:AE45"/>
    <mergeCell ref="A53:A54"/>
    <mergeCell ref="B53:D53"/>
    <mergeCell ref="A57:AE57"/>
    <mergeCell ref="A58:AD58"/>
    <mergeCell ref="A61:AE61"/>
    <mergeCell ref="A59:AE59"/>
    <mergeCell ref="A60:AE60"/>
    <mergeCell ref="B49:D50"/>
    <mergeCell ref="E49:E50"/>
    <mergeCell ref="O49:W50"/>
    <mergeCell ref="B54:D54"/>
    <mergeCell ref="A55:D55"/>
    <mergeCell ref="E55:Z55"/>
    <mergeCell ref="AA55:AE55"/>
    <mergeCell ref="AA54:AE54"/>
    <mergeCell ref="B47:D48"/>
    <mergeCell ref="B46:D46"/>
    <mergeCell ref="X46:AE46"/>
    <mergeCell ref="B51:D51"/>
    <mergeCell ref="E51:AE51"/>
    <mergeCell ref="O46:W46"/>
    <mergeCell ref="O47:W47"/>
    <mergeCell ref="O48:W48"/>
    <mergeCell ref="E46:N46"/>
    <mergeCell ref="K47:L47"/>
    <mergeCell ref="K50:L50"/>
    <mergeCell ref="E52:AE52"/>
    <mergeCell ref="F49:N49"/>
    <mergeCell ref="K48:L48"/>
    <mergeCell ref="X47:AE47"/>
    <mergeCell ref="X50:AE50"/>
    <mergeCell ref="X49:AE49"/>
    <mergeCell ref="B20:D20"/>
    <mergeCell ref="E20:F20"/>
    <mergeCell ref="M20:O20"/>
    <mergeCell ref="X20:Z20"/>
    <mergeCell ref="G20:L20"/>
    <mergeCell ref="A44:D44"/>
    <mergeCell ref="E44:AE44"/>
    <mergeCell ref="B31:D33"/>
    <mergeCell ref="E31:AE31"/>
    <mergeCell ref="E32:AE32"/>
    <mergeCell ref="E33:AE33"/>
    <mergeCell ref="E34:AE34"/>
    <mergeCell ref="B34:D37"/>
    <mergeCell ref="E35:AE35"/>
    <mergeCell ref="E36:AE36"/>
    <mergeCell ref="E37:AE37"/>
    <mergeCell ref="J41:N41"/>
    <mergeCell ref="O39:W39"/>
    <mergeCell ref="R27:W27"/>
    <mergeCell ref="E23:H23"/>
    <mergeCell ref="B40:D40"/>
    <mergeCell ref="E43:AE43"/>
    <mergeCell ref="B43:D43"/>
    <mergeCell ref="A38:A43"/>
  </mergeCells>
  <phoneticPr fontId="1" type="noConversion"/>
  <dataValidations count="2">
    <dataValidation type="list" errorStyle="warning" allowBlank="1" showInputMessage="1" showErrorMessage="1" promptTitle="구분 선택" prompt="공연·전시·예술교육 중 선택 — 왼쪽 G8 장소 목록이 이 값에 귀속돼요." sqref="AH8">
      <formula1>구분목록</formula1>
    </dataValidation>
    <dataValidation type="list" errorStyle="warning" allowBlank="1" showInputMessage="1" showErrorMessage="1" promptTitle="장소 선택" prompt="구분(AH8)에 맞는 장소 목록이 떠요. 목록 밖 장소도 직접 입력 가능(경고 후 계속)." sqref="G8">
      <formula1>INDIRECT("장소_"&amp;$AH$8)</formula1>
    </dataValidation>
  </dataValidations>
  <hyperlinks>
    <hyperlink ref="B43:D43" r:id="rId1" display="https://www.culture.go.kr/deduction/" xr:uid="{BD5BFE8F-40ED-47EE-AB70-59515624841A}"/>
    <hyperlink ref="B54:D54" r:id="rId2" display="티켓링크 가입 ID" xr:uid="{31A5763C-6F9B-477D-8636-A8B5455F5F8F}"/>
    <hyperlink ref="A44:D44" r:id="rId3" display="공연예술통합전산망 정보 제공 여부" xr:uid="{480F62E5-52F7-4B3C-A2CC-0E13A0698A77}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56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10" name="Check Box 49">
              <controlPr defaultSize="0" autoFill="0" autoLine="0" autoPict="0">
                <anchor moveWithCells="1">
                  <from>
                    <xdr:col>29</xdr:col>
                    <xdr:colOff>144780</xdr:colOff>
                    <xdr:row>7</xdr:row>
                    <xdr:rowOff>60960</xdr:rowOff>
                  </from>
                  <to>
                    <xdr:col>30</xdr:col>
                    <xdr:colOff>297180</xdr:colOff>
                    <xdr:row>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" name="Check Box 120">
              <controlPr defaultSize="0" autoFill="0" autoLine="0" autoPict="0">
                <anchor moveWithCells="1">
                  <from>
                    <xdr:col>26</xdr:col>
                    <xdr:colOff>182880</xdr:colOff>
                    <xdr:row>54</xdr:row>
                    <xdr:rowOff>160020</xdr:rowOff>
                  </from>
                  <to>
                    <xdr:col>28</xdr:col>
                    <xdr:colOff>60960</xdr:colOff>
                    <xdr:row>54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" name="Check Box 121">
              <controlPr defaultSize="0" autoFill="0" autoLine="0" autoPict="0">
                <anchor moveWithCells="1">
                  <from>
                    <xdr:col>28</xdr:col>
                    <xdr:colOff>274320</xdr:colOff>
                    <xdr:row>54</xdr:row>
                    <xdr:rowOff>144780</xdr:rowOff>
                  </from>
                  <to>
                    <xdr:col>30</xdr:col>
                    <xdr:colOff>335280</xdr:colOff>
                    <xdr:row>54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" name="Check Box 128">
              <controlPr defaultSize="0" autoFill="0" autoLine="0" autoPict="0">
                <anchor moveWithCells="1">
                  <from>
                    <xdr:col>23</xdr:col>
                    <xdr:colOff>160020</xdr:colOff>
                    <xdr:row>47</xdr:row>
                    <xdr:rowOff>121920</xdr:rowOff>
                  </from>
                  <to>
                    <xdr:col>24</xdr:col>
                    <xdr:colOff>327660</xdr:colOff>
                    <xdr:row>47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4" name="Check Box 129">
              <controlPr defaultSize="0" autoFill="0" autoLine="0" autoPict="0">
                <anchor moveWithCells="1">
                  <from>
                    <xdr:col>25</xdr:col>
                    <xdr:colOff>152400</xdr:colOff>
                    <xdr:row>47</xdr:row>
                    <xdr:rowOff>121920</xdr:rowOff>
                  </from>
                  <to>
                    <xdr:col>26</xdr:col>
                    <xdr:colOff>365760</xdr:colOff>
                    <xdr:row>47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5" name="Check Box 130">
              <controlPr defaultSize="0" autoFill="0" autoLine="0" autoPict="0">
                <anchor moveWithCells="1">
                  <from>
                    <xdr:col>27</xdr:col>
                    <xdr:colOff>38100</xdr:colOff>
                    <xdr:row>47</xdr:row>
                    <xdr:rowOff>114300</xdr:rowOff>
                  </from>
                  <to>
                    <xdr:col>28</xdr:col>
                    <xdr:colOff>266700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6" name="Check Box 150">
              <controlPr defaultSize="0" autoFill="0" autoLine="0" autoPict="0">
                <anchor moveWithCells="1">
                  <from>
                    <xdr:col>26</xdr:col>
                    <xdr:colOff>335280</xdr:colOff>
                    <xdr:row>48</xdr:row>
                    <xdr:rowOff>91440</xdr:rowOff>
                  </from>
                  <to>
                    <xdr:col>29</xdr:col>
                    <xdr:colOff>68580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7" name="Check Box 151">
              <controlPr defaultSize="0" autoFill="0" autoLine="0" autoPict="0">
                <anchor moveWithCells="1">
                  <from>
                    <xdr:col>24</xdr:col>
                    <xdr:colOff>144780</xdr:colOff>
                    <xdr:row>48</xdr:row>
                    <xdr:rowOff>99060</xdr:rowOff>
                  </from>
                  <to>
                    <xdr:col>25</xdr:col>
                    <xdr:colOff>297180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" name="Drop Down 190">
              <controlPr defaultSize="0" autoLine="0" autoPict="0" altText="장르선택">
                <anchor moveWithCells="1">
                  <from>
                    <xdr:col>6</xdr:col>
                    <xdr:colOff>121920</xdr:colOff>
                    <xdr:row>8</xdr:row>
                    <xdr:rowOff>83820</xdr:rowOff>
                  </from>
                  <to>
                    <xdr:col>13</xdr:col>
                    <xdr:colOff>45720</xdr:colOff>
                    <xdr:row>8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" name="Drop Down 191">
              <controlPr defaultSize="0" autoLine="0" autoPict="0" altText="해당없음">
                <anchor moveWithCells="1">
                  <from>
                    <xdr:col>6</xdr:col>
                    <xdr:colOff>121920</xdr:colOff>
                    <xdr:row>9</xdr:row>
                    <xdr:rowOff>68580</xdr:rowOff>
                  </from>
                  <to>
                    <xdr:col>10</xdr:col>
                    <xdr:colOff>205740</xdr:colOff>
                    <xdr:row>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0" name="Check Box 192">
              <controlPr defaultSize="0" autoFill="0" autoLine="0" autoPict="0">
                <anchor moveWithCells="1">
                  <from>
                    <xdr:col>26</xdr:col>
                    <xdr:colOff>281940</xdr:colOff>
                    <xdr:row>8</xdr:row>
                    <xdr:rowOff>68580</xdr:rowOff>
                  </from>
                  <to>
                    <xdr:col>28</xdr:col>
                    <xdr:colOff>228600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21" name="Check Box 193">
              <controlPr defaultSize="0" autoFill="0" autoLine="0" autoPict="0">
                <anchor moveWithCells="1">
                  <from>
                    <xdr:col>29</xdr:col>
                    <xdr:colOff>144780</xdr:colOff>
                    <xdr:row>8</xdr:row>
                    <xdr:rowOff>68580</xdr:rowOff>
                  </from>
                  <to>
                    <xdr:col>30</xdr:col>
                    <xdr:colOff>632460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2" name="Check Box 102">
              <controlPr defaultSize="0" autoFill="0" autoLine="0" autoPict="0">
                <anchor moveWithCells="1">
                  <from>
                    <xdr:col>26</xdr:col>
                    <xdr:colOff>281940</xdr:colOff>
                    <xdr:row>10</xdr:row>
                    <xdr:rowOff>68580</xdr:rowOff>
                  </from>
                  <to>
                    <xdr:col>28</xdr:col>
                    <xdr:colOff>220980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3" name="Check Box 103">
              <controlPr defaultSize="0" autoFill="0" autoLine="0" autoPict="0">
                <anchor moveWithCells="1">
                  <from>
                    <xdr:col>29</xdr:col>
                    <xdr:colOff>144780</xdr:colOff>
                    <xdr:row>10</xdr:row>
                    <xdr:rowOff>68580</xdr:rowOff>
                  </from>
                  <to>
                    <xdr:col>30</xdr:col>
                    <xdr:colOff>632460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4" name="Check Box 205">
              <controlPr defaultSize="0" autoFill="0" autoLine="0" autoPict="0">
                <anchor moveWithCells="1">
                  <from>
                    <xdr:col>26</xdr:col>
                    <xdr:colOff>76200</xdr:colOff>
                    <xdr:row>15</xdr:row>
                    <xdr:rowOff>68580</xdr:rowOff>
                  </from>
                  <to>
                    <xdr:col>28</xdr:col>
                    <xdr:colOff>30480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5" name="Check Box 209">
              <controlPr defaultSize="0" autoFill="0" autoLine="0" autoPict="0">
                <anchor moveWithCells="1">
                  <from>
                    <xdr:col>26</xdr:col>
                    <xdr:colOff>76200</xdr:colOff>
                    <xdr:row>16</xdr:row>
                    <xdr:rowOff>60960</xdr:rowOff>
                  </from>
                  <to>
                    <xdr:col>27</xdr:col>
                    <xdr:colOff>160020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6" name="Check Box 210">
              <controlPr defaultSize="0" autoFill="0" autoLine="0" autoPict="0">
                <anchor moveWithCells="1">
                  <from>
                    <xdr:col>26</xdr:col>
                    <xdr:colOff>76200</xdr:colOff>
                    <xdr:row>17</xdr:row>
                    <xdr:rowOff>60960</xdr:rowOff>
                  </from>
                  <to>
                    <xdr:col>27</xdr:col>
                    <xdr:colOff>160020</xdr:colOff>
                    <xdr:row>17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7" name="Check Box 211">
              <controlPr defaultSize="0" autoFill="0" autoLine="0" autoPict="0">
                <anchor moveWithCells="1">
                  <from>
                    <xdr:col>26</xdr:col>
                    <xdr:colOff>76200</xdr:colOff>
                    <xdr:row>18</xdr:row>
                    <xdr:rowOff>68580</xdr:rowOff>
                  </from>
                  <to>
                    <xdr:col>28</xdr:col>
                    <xdr:colOff>30480</xdr:colOff>
                    <xdr:row>18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8" name="Check Box 212">
              <controlPr defaultSize="0" autoFill="0" autoLine="0" autoPict="0">
                <anchor moveWithCells="1">
                  <from>
                    <xdr:col>27</xdr:col>
                    <xdr:colOff>190500</xdr:colOff>
                    <xdr:row>18</xdr:row>
                    <xdr:rowOff>68580</xdr:rowOff>
                  </from>
                  <to>
                    <xdr:col>29</xdr:col>
                    <xdr:colOff>182880</xdr:colOff>
                    <xdr:row>18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29" name="Check Box 173">
              <controlPr defaultSize="0" autoFill="0" autoLine="0" autoPict="0">
                <anchor moveWithCells="1">
                  <from>
                    <xdr:col>6</xdr:col>
                    <xdr:colOff>76200</xdr:colOff>
                    <xdr:row>19</xdr:row>
                    <xdr:rowOff>60960</xdr:rowOff>
                  </from>
                  <to>
                    <xdr:col>9</xdr:col>
                    <xdr:colOff>30480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30" name="Check Box 174">
              <controlPr defaultSize="0" autoFill="0" autoLine="0" autoPict="0">
                <anchor moveWithCells="1">
                  <from>
                    <xdr:col>8</xdr:col>
                    <xdr:colOff>76200</xdr:colOff>
                    <xdr:row>19</xdr:row>
                    <xdr:rowOff>60960</xdr:rowOff>
                  </from>
                  <to>
                    <xdr:col>11</xdr:col>
                    <xdr:colOff>38100</xdr:colOff>
                    <xdr:row>19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31" name="Check Box 175">
              <controlPr defaultSize="0" autoFill="0" autoLine="0" autoPict="0">
                <anchor moveWithCells="1">
                  <from>
                    <xdr:col>15</xdr:col>
                    <xdr:colOff>114300</xdr:colOff>
                    <xdr:row>19</xdr:row>
                    <xdr:rowOff>60960</xdr:rowOff>
                  </from>
                  <to>
                    <xdr:col>19</xdr:col>
                    <xdr:colOff>22860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32" name="Check Box 176">
              <controlPr defaultSize="0" autoFill="0" autoLine="0" autoPict="0">
                <anchor moveWithCells="1">
                  <from>
                    <xdr:col>18</xdr:col>
                    <xdr:colOff>91440</xdr:colOff>
                    <xdr:row>19</xdr:row>
                    <xdr:rowOff>60960</xdr:rowOff>
                  </from>
                  <to>
                    <xdr:col>21</xdr:col>
                    <xdr:colOff>182880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33" name="Check Box 177">
              <controlPr defaultSize="0" autoFill="0" autoLine="0" autoPict="0">
                <anchor moveWithCells="1">
                  <from>
                    <xdr:col>26</xdr:col>
                    <xdr:colOff>281940</xdr:colOff>
                    <xdr:row>19</xdr:row>
                    <xdr:rowOff>60960</xdr:rowOff>
                  </from>
                  <to>
                    <xdr:col>28</xdr:col>
                    <xdr:colOff>38100</xdr:colOff>
                    <xdr:row>19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34" name="Check Box 178">
              <controlPr defaultSize="0" autoFill="0" autoLine="0" autoPict="0">
                <anchor moveWithCells="1">
                  <from>
                    <xdr:col>29</xdr:col>
                    <xdr:colOff>144780</xdr:colOff>
                    <xdr:row>19</xdr:row>
                    <xdr:rowOff>60960</xdr:rowOff>
                  </from>
                  <to>
                    <xdr:col>30</xdr:col>
                    <xdr:colOff>533400</xdr:colOff>
                    <xdr:row>19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35" name="Check Box 107">
              <controlPr defaultSize="0" autoFill="0" autoLine="0" autoPict="0">
                <anchor moveWithCells="1">
                  <from>
                    <xdr:col>6</xdr:col>
                    <xdr:colOff>121920</xdr:colOff>
                    <xdr:row>15</xdr:row>
                    <xdr:rowOff>68580</xdr:rowOff>
                  </from>
                  <to>
                    <xdr:col>13</xdr:col>
                    <xdr:colOff>106680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36" name="Check Box 108">
              <controlPr defaultSize="0" autoFill="0" autoLine="0" autoPict="0">
                <anchor moveWithCells="1">
                  <from>
                    <xdr:col>14</xdr:col>
                    <xdr:colOff>160020</xdr:colOff>
                    <xdr:row>15</xdr:row>
                    <xdr:rowOff>68580</xdr:rowOff>
                  </from>
                  <to>
                    <xdr:col>18</xdr:col>
                    <xdr:colOff>7620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37" name="Check Box 94">
              <controlPr defaultSize="0" autoFill="0" autoLine="0" autoPict="0">
                <anchor moveWithCells="1">
                  <from>
                    <xdr:col>6</xdr:col>
                    <xdr:colOff>121920</xdr:colOff>
                    <xdr:row>12</xdr:row>
                    <xdr:rowOff>68580</xdr:rowOff>
                  </from>
                  <to>
                    <xdr:col>9</xdr:col>
                    <xdr:colOff>76200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38" name="Check Box 95">
              <controlPr defaultSize="0" autoFill="0" autoLine="0" autoPict="0">
                <anchor moveWithCells="1">
                  <from>
                    <xdr:col>12</xdr:col>
                    <xdr:colOff>7620</xdr:colOff>
                    <xdr:row>12</xdr:row>
                    <xdr:rowOff>68580</xdr:rowOff>
                  </from>
                  <to>
                    <xdr:col>14</xdr:col>
                    <xdr:colOff>175260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39" name="Check Box 198">
              <controlPr defaultSize="0" autoFill="0" autoLine="0" autoPict="0">
                <anchor moveWithCells="1">
                  <from>
                    <xdr:col>6</xdr:col>
                    <xdr:colOff>121920</xdr:colOff>
                    <xdr:row>13</xdr:row>
                    <xdr:rowOff>68580</xdr:rowOff>
                  </from>
                  <to>
                    <xdr:col>9</xdr:col>
                    <xdr:colOff>76200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40" name="Check Box 199">
              <controlPr defaultSize="0" autoFill="0" autoLine="0" autoPict="0">
                <anchor moveWithCells="1">
                  <from>
                    <xdr:col>12</xdr:col>
                    <xdr:colOff>7620</xdr:colOff>
                    <xdr:row>13</xdr:row>
                    <xdr:rowOff>60960</xdr:rowOff>
                  </from>
                  <to>
                    <xdr:col>14</xdr:col>
                    <xdr:colOff>175260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41" name="Check Box 202">
              <controlPr defaultSize="0" autoFill="0" autoLine="0" autoPict="0">
                <anchor moveWithCells="1">
                  <from>
                    <xdr:col>6</xdr:col>
                    <xdr:colOff>137160</xdr:colOff>
                    <xdr:row>14</xdr:row>
                    <xdr:rowOff>91440</xdr:rowOff>
                  </from>
                  <to>
                    <xdr:col>9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42" name="Check Box 203">
              <controlPr defaultSize="0" autoFill="0" autoLine="0" autoPict="0">
                <anchor moveWithCells="1">
                  <from>
                    <xdr:col>12</xdr:col>
                    <xdr:colOff>22860</xdr:colOff>
                    <xdr:row>14</xdr:row>
                    <xdr:rowOff>91440</xdr:rowOff>
                  </from>
                  <to>
                    <xdr:col>14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3" name="Check Box 213">
              <controlPr defaultSize="0" autoFill="0" autoLine="0" autoPict="0">
                <anchor moveWithCells="1">
                  <from>
                    <xdr:col>18</xdr:col>
                    <xdr:colOff>0</xdr:colOff>
                    <xdr:row>14</xdr:row>
                    <xdr:rowOff>91440</xdr:rowOff>
                  </from>
                  <to>
                    <xdr:col>20</xdr:col>
                    <xdr:colOff>228600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44" name="Check Box 96">
              <controlPr defaultSize="0" autoFill="0" autoLine="0" autoPict="0">
                <anchor moveWithCells="1">
                  <from>
                    <xdr:col>6</xdr:col>
                    <xdr:colOff>121920</xdr:colOff>
                    <xdr:row>11</xdr:row>
                    <xdr:rowOff>83820</xdr:rowOff>
                  </from>
                  <to>
                    <xdr:col>9</xdr:col>
                    <xdr:colOff>160020</xdr:colOff>
                    <xdr:row>11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45" name="Check Box 97">
              <controlPr defaultSize="0" autoFill="0" autoLine="0" autoPict="0">
                <anchor moveWithCells="1">
                  <from>
                    <xdr:col>12</xdr:col>
                    <xdr:colOff>7620</xdr:colOff>
                    <xdr:row>11</xdr:row>
                    <xdr:rowOff>83820</xdr:rowOff>
                  </from>
                  <to>
                    <xdr:col>14</xdr:col>
                    <xdr:colOff>297180</xdr:colOff>
                    <xdr:row>11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46" name="Check Box 101">
              <controlPr defaultSize="0" autoFill="0" autoLine="0" autoPict="0">
                <anchor moveWithCells="1">
                  <from>
                    <xdr:col>18</xdr:col>
                    <xdr:colOff>0</xdr:colOff>
                    <xdr:row>11</xdr:row>
                    <xdr:rowOff>83820</xdr:rowOff>
                  </from>
                  <to>
                    <xdr:col>21</xdr:col>
                    <xdr:colOff>129540</xdr:colOff>
                    <xdr:row>11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47" name="Check Box 200">
              <controlPr defaultSize="0" autoFill="0" autoLine="0" autoPict="0">
                <anchor moveWithCells="1">
                  <from>
                    <xdr:col>6</xdr:col>
                    <xdr:colOff>121920</xdr:colOff>
                    <xdr:row>11</xdr:row>
                    <xdr:rowOff>373380</xdr:rowOff>
                  </from>
                  <to>
                    <xdr:col>9</xdr:col>
                    <xdr:colOff>160020</xdr:colOff>
                    <xdr:row>11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48" name="Check Box 201">
              <controlPr defaultSize="0" autoFill="0" autoLine="0" autoPict="0">
                <anchor moveWithCells="1">
                  <from>
                    <xdr:col>12</xdr:col>
                    <xdr:colOff>7620</xdr:colOff>
                    <xdr:row>11</xdr:row>
                    <xdr:rowOff>381000</xdr:rowOff>
                  </from>
                  <to>
                    <xdr:col>14</xdr:col>
                    <xdr:colOff>160020</xdr:colOff>
                    <xdr:row>11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9" name="Check Box 44">
              <controlPr defaultSize="0" autoFill="0" autoLine="0" autoPict="0">
                <anchor moveWithCells="1">
                  <from>
                    <xdr:col>6</xdr:col>
                    <xdr:colOff>121920</xdr:colOff>
                    <xdr:row>10</xdr:row>
                    <xdr:rowOff>68580</xdr:rowOff>
                  </from>
                  <to>
                    <xdr:col>9</xdr:col>
                    <xdr:colOff>289560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50" name="Check Box 137">
              <controlPr defaultSize="0" autoFill="0" autoLine="0" autoPict="0">
                <anchor moveWithCells="1">
                  <from>
                    <xdr:col>12</xdr:col>
                    <xdr:colOff>7620</xdr:colOff>
                    <xdr:row>10</xdr:row>
                    <xdr:rowOff>68580</xdr:rowOff>
                  </from>
                  <to>
                    <xdr:col>14</xdr:col>
                    <xdr:colOff>289560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51" name="Check Box 158">
              <controlPr defaultSize="0" autoFill="0" autoLine="0" autoPict="0">
                <anchor moveWithCells="1">
                  <from>
                    <xdr:col>9</xdr:col>
                    <xdr:colOff>182880</xdr:colOff>
                    <xdr:row>42</xdr:row>
                    <xdr:rowOff>45720</xdr:rowOff>
                  </from>
                  <to>
                    <xdr:col>17</xdr:col>
                    <xdr:colOff>106680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52" name="Check Box 159">
              <controlPr defaultSize="0" autoFill="0" autoLine="0" autoPict="0">
                <anchor moveWithCells="1">
                  <from>
                    <xdr:col>19</xdr:col>
                    <xdr:colOff>160020</xdr:colOff>
                    <xdr:row>42</xdr:row>
                    <xdr:rowOff>45720</xdr:rowOff>
                  </from>
                  <to>
                    <xdr:col>26</xdr:col>
                    <xdr:colOff>121920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53" name="Check Box 165">
              <controlPr defaultSize="0" autoFill="0" autoLine="0" autoPict="0">
                <anchor moveWithCells="1">
                  <from>
                    <xdr:col>9</xdr:col>
                    <xdr:colOff>182880</xdr:colOff>
                    <xdr:row>43</xdr:row>
                    <xdr:rowOff>45720</xdr:rowOff>
                  </from>
                  <to>
                    <xdr:col>17</xdr:col>
                    <xdr:colOff>106680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54" name="Check Box 166">
              <controlPr defaultSize="0" autoFill="0" autoLine="0" autoPict="0">
                <anchor moveWithCells="1">
                  <from>
                    <xdr:col>19</xdr:col>
                    <xdr:colOff>160020</xdr:colOff>
                    <xdr:row>43</xdr:row>
                    <xdr:rowOff>45720</xdr:rowOff>
                  </from>
                  <to>
                    <xdr:col>26</xdr:col>
                    <xdr:colOff>121920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55" name="Check Box 105">
              <controlPr defaultSize="0" autoFill="0" autoLine="0" autoPict="0">
                <anchor moveWithCells="1">
                  <from>
                    <xdr:col>5</xdr:col>
                    <xdr:colOff>388620</xdr:colOff>
                    <xdr:row>44</xdr:row>
                    <xdr:rowOff>68580</xdr:rowOff>
                  </from>
                  <to>
                    <xdr:col>12</xdr:col>
                    <xdr:colOff>175260</xdr:colOff>
                    <xdr:row>44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56" name="Check Box 106">
              <controlPr defaultSize="0" autoFill="0" autoLine="0" autoPict="0">
                <anchor moveWithCells="1">
                  <from>
                    <xdr:col>14</xdr:col>
                    <xdr:colOff>251460</xdr:colOff>
                    <xdr:row>44</xdr:row>
                    <xdr:rowOff>60960</xdr:rowOff>
                  </from>
                  <to>
                    <xdr:col>30</xdr:col>
                    <xdr:colOff>175260</xdr:colOff>
                    <xdr:row>44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7" name="Check Box 123">
              <controlPr defaultSize="0" autoFill="0" autoLine="0" autoPict="0">
                <anchor moveWithCells="1">
                  <from>
                    <xdr:col>4</xdr:col>
                    <xdr:colOff>342900</xdr:colOff>
                    <xdr:row>45</xdr:row>
                    <xdr:rowOff>68580</xdr:rowOff>
                  </from>
                  <to>
                    <xdr:col>5</xdr:col>
                    <xdr:colOff>342900</xdr:colOff>
                    <xdr:row>45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8" name="Check Box 124">
              <controlPr defaultSize="0" autoFill="0" autoLine="0" autoPict="0">
                <anchor moveWithCells="1">
                  <from>
                    <xdr:col>6</xdr:col>
                    <xdr:colOff>342900</xdr:colOff>
                    <xdr:row>45</xdr:row>
                    <xdr:rowOff>76200</xdr:rowOff>
                  </from>
                  <to>
                    <xdr:col>10</xdr:col>
                    <xdr:colOff>182880</xdr:colOff>
                    <xdr:row>45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9" name="Check Box 125">
              <controlPr defaultSize="0" autoFill="0" autoLine="0" autoPict="0">
                <anchor moveWithCells="1">
                  <from>
                    <xdr:col>23</xdr:col>
                    <xdr:colOff>99060</xdr:colOff>
                    <xdr:row>45</xdr:row>
                    <xdr:rowOff>68580</xdr:rowOff>
                  </from>
                  <to>
                    <xdr:col>25</xdr:col>
                    <xdr:colOff>0</xdr:colOff>
                    <xdr:row>45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60" name="Check Box 126">
              <controlPr defaultSize="0" autoFill="0" autoLine="0" autoPict="0">
                <anchor moveWithCells="1">
                  <from>
                    <xdr:col>25</xdr:col>
                    <xdr:colOff>160020</xdr:colOff>
                    <xdr:row>45</xdr:row>
                    <xdr:rowOff>68580</xdr:rowOff>
                  </from>
                  <to>
                    <xdr:col>26</xdr:col>
                    <xdr:colOff>502920</xdr:colOff>
                    <xdr:row>45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61" name="Check Box 140">
              <controlPr defaultSize="0" autoFill="0" autoLine="0" autoPict="0">
                <anchor moveWithCells="1">
                  <from>
                    <xdr:col>9</xdr:col>
                    <xdr:colOff>137160</xdr:colOff>
                    <xdr:row>48</xdr:row>
                    <xdr:rowOff>99060</xdr:rowOff>
                  </from>
                  <to>
                    <xdr:col>13</xdr:col>
                    <xdr:colOff>15240</xdr:colOff>
                    <xdr:row>48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2" name="Check Box 141">
              <controlPr defaultSize="0" autoFill="0" autoLine="0" autoPict="0">
                <anchor moveWithCells="1">
                  <from>
                    <xdr:col>5</xdr:col>
                    <xdr:colOff>297180</xdr:colOff>
                    <xdr:row>48</xdr:row>
                    <xdr:rowOff>99060</xdr:rowOff>
                  </from>
                  <to>
                    <xdr:col>6</xdr:col>
                    <xdr:colOff>152400</xdr:colOff>
                    <xdr:row>48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Q23"/>
  <sheetViews>
    <sheetView showGridLines="0" tabSelected="1" zoomScaleNormal="100" zoomScaleSheetLayoutView="100" workbookViewId="0">
      <selection activeCell="AD4" sqref="AD4"/>
    </sheetView>
  </sheetViews>
  <sheetFormatPr defaultColWidth="9" defaultRowHeight="23.25" customHeight="1" x14ac:dyDescent="0.4"/>
  <cols>
    <col min="1" max="1" width="7.3984375" style="1" customWidth="1"/>
    <col min="2" max="2" width="6.5" style="1" customWidth="1"/>
    <col min="3" max="3" width="5.69921875" style="1" customWidth="1"/>
    <col min="4" max="4" width="4.59765625" style="1" customWidth="1"/>
    <col min="5" max="6" width="2.09765625" style="1" customWidth="1"/>
    <col min="7" max="7" width="4.09765625" style="1" customWidth="1"/>
    <col min="8" max="8" width="3.59765625" style="1" customWidth="1"/>
    <col min="9" max="9" width="2.09765625" style="1" customWidth="1"/>
    <col min="10" max="11" width="3.59765625" style="1" customWidth="1"/>
    <col min="12" max="12" width="4.19921875" style="1" customWidth="1"/>
    <col min="13" max="17" width="2.3984375" style="1" customWidth="1"/>
    <col min="18" max="18" width="3.3984375" style="1" customWidth="1"/>
    <col min="19" max="19" width="3.19921875" style="1" customWidth="1"/>
    <col min="20" max="20" width="1.8984375" style="1" customWidth="1"/>
    <col min="21" max="23" width="5.09765625" style="1" customWidth="1"/>
    <col min="24" max="24" width="7.09765625" style="1" customWidth="1"/>
    <col min="25" max="28" width="4.19921875" style="1" customWidth="1"/>
    <col min="29" max="16384" width="9" style="1"/>
  </cols>
  <sheetData>
    <row r="1" spans="1:43" ht="49.5" customHeight="1" x14ac:dyDescent="0.4">
      <c r="A1" s="38" t="s">
        <v>41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9"/>
    </row>
    <row r="2" spans="1:43" ht="27.75" customHeight="1" x14ac:dyDescent="0.4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6"/>
    </row>
    <row r="3" spans="1:43" ht="27.75" customHeight="1" x14ac:dyDescent="0.4">
      <c r="A3" s="49" t="s">
        <v>36</v>
      </c>
      <c r="B3" s="50"/>
      <c r="C3" s="51"/>
      <c r="D3" s="278" t="str">
        <f>IF('1.판매대행의뢰서'!G5="",'1.판매대행의뢰서'!G4,'1.판매대행의뢰서'!G4&amp;" : "&amp;'1.판매대행의뢰서'!G5)</f>
      </c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9"/>
    </row>
    <row r="4" spans="1:43" ht="27.75" customHeight="1" x14ac:dyDescent="0.4">
      <c r="A4" s="49" t="s">
        <v>5</v>
      </c>
      <c r="B4" s="50"/>
      <c r="C4" s="51"/>
      <c r="D4" s="280" t="str">
        <f>IF('1.판매대행의뢰서'!G9="","",'1.판매대행의뢰서'!G9)</f>
      </c>
      <c r="B5" s="50"/>
      <c r="C5" s="51"/>
      <c r="D5" s="280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2"/>
    </row>
    <row r="6" spans="1:43" ht="27.75" customHeight="1" x14ac:dyDescent="0.4">
      <c r="A6" s="193" t="s">
        <v>138</v>
      </c>
      <c r="B6" s="182"/>
      <c r="C6" s="194"/>
      <c r="D6" s="280" t="s">
        <v>136</v>
      </c>
      <c r="E6" s="281"/>
      <c r="F6" s="281"/>
      <c r="G6" s="281"/>
      <c r="H6" s="283"/>
      <c r="I6" s="280" t="inlineStr">
        <is>
          <t xml:space="preserve">해당 없음</t>
        </is>
      </c>
      <c r="J6" s="281"/>
      <c r="K6" s="281"/>
      <c r="L6" s="281"/>
      <c r="M6" s="281"/>
      <c r="N6" s="281"/>
      <c r="O6" s="281"/>
      <c r="P6" s="281"/>
      <c r="Q6" s="281"/>
      <c r="R6" s="283"/>
      <c r="S6" s="280" t="s">
        <v>137</v>
      </c>
      <c r="T6" s="281"/>
      <c r="U6" s="281"/>
      <c r="V6" s="283"/>
      <c r="W6" s="281"/>
      <c r="X6" s="281"/>
      <c r="Y6" s="281"/>
      <c r="Z6" s="281"/>
      <c r="AA6" s="281"/>
      <c r="AB6" s="282"/>
    </row>
    <row r="7" spans="1:43" ht="27.75" customHeight="1" x14ac:dyDescent="0.4">
      <c r="A7" s="193" t="s">
        <v>139</v>
      </c>
      <c r="B7" s="182"/>
      <c r="C7" s="194"/>
      <c r="D7" s="280"/>
      <c r="E7" s="281"/>
      <c r="F7" s="281"/>
      <c r="G7" s="281"/>
      <c r="H7" s="281"/>
      <c r="I7" s="281"/>
      <c r="J7" s="281"/>
      <c r="K7" s="281"/>
      <c r="L7" s="281"/>
      <c r="M7" s="284" t="s">
        <v>124</v>
      </c>
      <c r="N7" s="284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5"/>
      <c r="AA7" s="285"/>
      <c r="AB7" s="286"/>
    </row>
    <row r="8" spans="1:43" ht="27.75" customHeight="1" x14ac:dyDescent="0.4">
      <c r="A8" s="49" t="s">
        <v>38</v>
      </c>
      <c r="B8" s="50"/>
      <c r="C8" s="51"/>
      <c r="D8" s="280" t="s">
        <v>245</v>
      </c>
      <c r="E8" s="281"/>
      <c r="F8" s="281"/>
      <c r="G8" s="281"/>
      <c r="H8" s="281"/>
      <c r="I8" s="281"/>
      <c r="J8" s="281"/>
      <c r="K8" s="281"/>
      <c r="L8" s="281"/>
      <c r="M8" s="281"/>
      <c r="N8" s="281"/>
      <c r="O8" s="281"/>
      <c r="P8" s="281"/>
      <c r="Q8" s="287"/>
      <c r="R8" s="287" t="s">
        <v>66</v>
      </c>
      <c r="S8" s="287"/>
      <c r="T8" s="287"/>
      <c r="U8" s="287"/>
      <c r="V8" s="287"/>
      <c r="W8" s="287"/>
      <c r="X8" s="287"/>
      <c r="Y8" s="287"/>
      <c r="Z8" s="287"/>
      <c r="AA8" s="287"/>
      <c r="AB8" s="288"/>
    </row>
    <row r="9" spans="1:43" ht="27.75" customHeight="1" x14ac:dyDescent="0.4">
      <c r="A9" s="52"/>
      <c r="B9" s="274"/>
      <c r="C9" s="54"/>
      <c r="D9" s="280" t="s">
        <v>130</v>
      </c>
      <c r="E9" s="281"/>
      <c r="F9" s="281"/>
      <c r="G9" s="281"/>
      <c r="H9" s="281"/>
      <c r="I9" s="281"/>
      <c r="J9" s="281"/>
      <c r="K9" s="281"/>
      <c r="L9" s="281"/>
      <c r="M9" s="281"/>
      <c r="N9" s="281"/>
      <c r="O9" s="281"/>
      <c r="P9" s="281"/>
      <c r="Q9" s="287"/>
      <c r="R9" s="287" t="s">
        <v>66</v>
      </c>
      <c r="S9" s="287"/>
      <c r="T9" s="287"/>
      <c r="U9" s="287"/>
      <c r="V9" s="287"/>
      <c r="W9" s="287"/>
      <c r="X9" s="287"/>
      <c r="Y9" s="287"/>
      <c r="Z9" s="287"/>
      <c r="AA9" s="287"/>
      <c r="AB9" s="288"/>
    </row>
    <row r="10" spans="1:43" ht="27.75" customHeight="1" x14ac:dyDescent="0.4">
      <c r="A10" s="52"/>
      <c r="B10" s="274"/>
      <c r="C10" s="54"/>
      <c r="D10" s="280" t="s">
        <v>244</v>
      </c>
      <c r="E10" s="281"/>
      <c r="F10" s="281"/>
      <c r="G10" s="281"/>
      <c r="H10" s="281"/>
      <c r="I10" s="281"/>
      <c r="J10" s="281"/>
      <c r="K10" s="281"/>
      <c r="L10" s="281"/>
      <c r="M10" s="281"/>
      <c r="N10" s="281"/>
      <c r="O10" s="281"/>
      <c r="P10" s="281"/>
      <c r="Q10" s="281"/>
      <c r="R10" s="281"/>
      <c r="S10" s="281"/>
      <c r="T10" s="281"/>
      <c r="U10" s="281"/>
      <c r="V10" s="281"/>
      <c r="W10" s="287"/>
      <c r="X10" s="287"/>
      <c r="Y10" s="287"/>
      <c r="Z10" s="287"/>
      <c r="AA10" s="287"/>
      <c r="AB10" s="288"/>
    </row>
    <row r="11" spans="1:43" ht="27.75" customHeight="1" x14ac:dyDescent="0.4">
      <c r="A11" s="52"/>
      <c r="B11" s="274"/>
      <c r="C11" s="54"/>
      <c r="D11" s="280" t="s">
        <v>243</v>
      </c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1"/>
      <c r="Q11" s="287"/>
      <c r="R11" s="287" t="s">
        <v>66</v>
      </c>
      <c r="S11" s="287"/>
      <c r="T11" s="287"/>
      <c r="U11" s="287"/>
      <c r="V11" s="287"/>
      <c r="W11" s="287"/>
      <c r="X11" s="287"/>
      <c r="Y11" s="287"/>
      <c r="Z11" s="287"/>
      <c r="AA11" s="287"/>
      <c r="AB11" s="288"/>
    </row>
    <row r="12" spans="1:43" ht="27.75" customHeight="1" x14ac:dyDescent="0.4">
      <c r="A12" s="49" t="s">
        <v>96</v>
      </c>
      <c r="B12" s="50"/>
      <c r="C12" s="51"/>
      <c r="D12" s="280"/>
      <c r="E12" s="281"/>
      <c r="F12" s="281"/>
      <c r="G12" s="281"/>
      <c r="H12" s="281"/>
      <c r="I12" s="281"/>
      <c r="J12" s="281"/>
      <c r="K12" s="281"/>
      <c r="L12" s="281"/>
      <c r="M12" s="281"/>
      <c r="N12" s="281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2"/>
    </row>
    <row r="13" spans="1:43" ht="27.75" customHeight="1" x14ac:dyDescent="0.4">
      <c r="A13" s="52"/>
      <c r="B13" s="274"/>
      <c r="C13" s="54"/>
      <c r="D13" s="280"/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2"/>
    </row>
    <row r="14" spans="1:43" ht="27.75" customHeight="1" x14ac:dyDescent="0.4">
      <c r="A14" s="52"/>
      <c r="B14" s="274"/>
      <c r="C14" s="54"/>
      <c r="D14" s="280"/>
      <c r="E14" s="281"/>
      <c r="F14" s="281"/>
      <c r="G14" s="281"/>
      <c r="H14" s="281"/>
      <c r="I14" s="281"/>
      <c r="J14" s="281"/>
      <c r="K14" s="281"/>
      <c r="L14" s="281"/>
      <c r="M14" s="281"/>
      <c r="N14" s="281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2"/>
    </row>
    <row r="15" spans="1:43" ht="171" customHeight="1" x14ac:dyDescent="0.4">
      <c r="A15" s="52"/>
      <c r="B15" s="274"/>
      <c r="C15" s="54"/>
      <c r="D15" s="289" t="str">
        <f>"   ◎ 기타 정보 : "&amp;CHAR(10)&amp;"    - 관람연령 : "&amp;TRIM('1.판매대행의뢰서'!AA6&amp;" "&amp;'1.판매대행의뢰서'!AD6)&amp;CHAR(10)&amp;"    - 관람시간 : "&amp;TRIM('1.판매대행의뢰서'!AB7&amp;'1.판매대행의뢰서'!AD7)&amp;CHAR(10)&amp;"    - 할인정보 : "&amp;TRIM('1.판매대행의뢰서'!E30)</f>
      </c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  <c r="AA15" s="290"/>
      <c r="AB15" s="291"/>
      <c r="AC15" s="1"/>
      <c r="AG15" s="52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71" customHeight="1" x14ac:dyDescent="0.4">
      <c r="A16" s="271"/>
      <c r="B16" s="275"/>
      <c r="C16" s="276"/>
      <c r="D16" s="292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4"/>
      <c r="AC16" s="1"/>
    </row>
    <row r="17" spans="1:28" ht="38.25" customHeight="1" x14ac:dyDescent="0.4">
      <c r="A17" s="272"/>
      <c r="B17" s="273"/>
      <c r="C17" s="277"/>
      <c r="D17" s="295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296"/>
      <c r="V17" s="296"/>
      <c r="W17" s="296"/>
      <c r="X17" s="296"/>
      <c r="Y17" s="296"/>
      <c r="Z17" s="296"/>
      <c r="AA17" s="296"/>
      <c r="AB17" s="297"/>
    </row>
    <row r="18" spans="1:28" ht="27.75" customHeight="1" x14ac:dyDescent="0.4">
      <c r="A18" s="49" t="s">
        <v>39</v>
      </c>
      <c r="B18" s="50"/>
      <c r="C18" s="51"/>
      <c r="D18" s="280" t="str">
        <f>"   ◎ 주최 : "&amp;TRIM(MID('1.판매대행의뢰서'!E34,FIND(":",'1.판매대행의뢰서'!E34)+1,100))</f>
      </c>
      <c r="E18" s="281"/>
      <c r="F18" s="281"/>
      <c r="G18" s="281"/>
      <c r="H18" s="281"/>
      <c r="I18" s="281"/>
      <c r="J18" s="281"/>
      <c r="K18" s="281"/>
      <c r="L18" s="281"/>
      <c r="M18" s="281"/>
      <c r="N18" s="281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2"/>
    </row>
    <row r="19" spans="1:28" ht="27.75" customHeight="1" x14ac:dyDescent="0.4">
      <c r="A19" s="52"/>
      <c r="B19" s="53"/>
      <c r="C19" s="54"/>
      <c r="D19" s="280" t="str">
        <f>"   ◎ 주관 : "&amp;TRIM(MID('1.판매대행의뢰서'!E35,FIND(":",'1.판매대행의뢰서'!E35)+1,100))</f>
      </c>
      <c r="E19" s="281"/>
      <c r="F19" s="281"/>
      <c r="G19" s="281"/>
      <c r="H19" s="281"/>
      <c r="I19" s="281"/>
      <c r="J19" s="281"/>
      <c r="K19" s="281"/>
      <c r="L19" s="281"/>
      <c r="M19" s="281"/>
      <c r="N19" s="281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2"/>
    </row>
    <row r="20" spans="1:28" ht="27.75" customHeight="1" x14ac:dyDescent="0.4">
      <c r="A20" s="52"/>
      <c r="B20" s="53"/>
      <c r="C20" s="54"/>
      <c r="D20" s="280" t="str">
        <f>"   ◎ 협찬 : "&amp;TRIM(MID('1.판매대행의뢰서'!E36,FIND(":",'1.판매대행의뢰서'!E36)+1,100))</f>
      </c>
      <c r="E20" s="281"/>
      <c r="F20" s="281"/>
      <c r="G20" s="281"/>
      <c r="H20" s="281"/>
      <c r="I20" s="281"/>
      <c r="J20" s="281"/>
      <c r="K20" s="281"/>
      <c r="L20" s="281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2"/>
    </row>
    <row r="21" spans="1:28" ht="27.75" customHeight="1" x14ac:dyDescent="0.4">
      <c r="A21" s="84"/>
      <c r="B21" s="74"/>
      <c r="C21" s="85"/>
      <c r="D21" s="280" t="str">
        <f>"   ◎ 문의 : "&amp;TRIM(MID('1.판매대행의뢰서'!E37,FIND(":",'1.판매대행의뢰서'!E37)+1,100))</f>
      </c>
      <c r="E21" s="281"/>
      <c r="F21" s="281"/>
      <c r="G21" s="281"/>
      <c r="H21" s="281"/>
      <c r="I21" s="281"/>
      <c r="J21" s="281"/>
      <c r="K21" s="281"/>
      <c r="L21" s="281"/>
      <c r="M21" s="281"/>
      <c r="N21" s="281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2"/>
    </row>
    <row r="22" spans="1:28" ht="306.75" customHeight="1" thickBot="1" x14ac:dyDescent="0.45">
      <c r="A22" s="232" t="s">
        <v>40</v>
      </c>
      <c r="B22" s="233"/>
      <c r="C22" s="234"/>
      <c r="D22" s="298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300"/>
    </row>
    <row r="23" spans="1:28" ht="23.25" customHeight="1" x14ac:dyDescent="0.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</row>
  </sheetData>
  <mergeCells count="41">
    <mergeCell ref="AG15:AQ15"/>
    <mergeCell ref="D15:AB15"/>
    <mergeCell ref="D12:K12"/>
    <mergeCell ref="L12:AB12"/>
    <mergeCell ref="D13:K13"/>
    <mergeCell ref="L13:AB13"/>
    <mergeCell ref="D14:K14"/>
    <mergeCell ref="A7:C7"/>
    <mergeCell ref="D7:L7"/>
    <mergeCell ref="M7:N7"/>
    <mergeCell ref="O7:AB7"/>
    <mergeCell ref="A1:AB1"/>
    <mergeCell ref="D3:AB3"/>
    <mergeCell ref="A3:C3"/>
    <mergeCell ref="D5:AB5"/>
    <mergeCell ref="A6:C6"/>
    <mergeCell ref="D6:H6"/>
    <mergeCell ref="A5:C5"/>
    <mergeCell ref="A4:C4"/>
    <mergeCell ref="I6:R6"/>
    <mergeCell ref="S6:V6"/>
    <mergeCell ref="W6:AB6"/>
    <mergeCell ref="D4:AB4"/>
    <mergeCell ref="A22:C22"/>
    <mergeCell ref="D22:AB22"/>
    <mergeCell ref="D21:AB21"/>
    <mergeCell ref="A8:C11"/>
    <mergeCell ref="A12:C15"/>
    <mergeCell ref="L14:AB14"/>
    <mergeCell ref="D11:K11"/>
    <mergeCell ref="L11:P11"/>
    <mergeCell ref="D10:K10"/>
    <mergeCell ref="L10:V10"/>
    <mergeCell ref="D19:AB19"/>
    <mergeCell ref="D20:AB20"/>
    <mergeCell ref="A18:C21"/>
    <mergeCell ref="D18:AB18"/>
    <mergeCell ref="D9:K9"/>
    <mergeCell ref="L9:P9"/>
    <mergeCell ref="D8:K8"/>
    <mergeCell ref="L8:P8"/>
  </mergeCells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3</xdr:col>
                    <xdr:colOff>182880</xdr:colOff>
                    <xdr:row>3</xdr:row>
                    <xdr:rowOff>60960</xdr:rowOff>
                  </from>
                  <to>
                    <xdr:col>6</xdr:col>
                    <xdr:colOff>53340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9</xdr:col>
                    <xdr:colOff>30480</xdr:colOff>
                    <xdr:row>3</xdr:row>
                    <xdr:rowOff>60960</xdr:rowOff>
                  </from>
                  <to>
                    <xdr:col>11</xdr:col>
                    <xdr:colOff>30480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3</xdr:row>
                    <xdr:rowOff>53340</xdr:rowOff>
                  </from>
                  <to>
                    <xdr:col>15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6</xdr:col>
                    <xdr:colOff>144780</xdr:colOff>
                    <xdr:row>3</xdr:row>
                    <xdr:rowOff>53340</xdr:rowOff>
                  </from>
                  <to>
                    <xdr:col>8</xdr:col>
                    <xdr:colOff>106680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22</xdr:col>
                    <xdr:colOff>129540</xdr:colOff>
                    <xdr:row>3</xdr:row>
                    <xdr:rowOff>60960</xdr:rowOff>
                  </from>
                  <to>
                    <xdr:col>24</xdr:col>
                    <xdr:colOff>15240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20</xdr:col>
                    <xdr:colOff>30480</xdr:colOff>
                    <xdr:row>3</xdr:row>
                    <xdr:rowOff>60960</xdr:rowOff>
                  </from>
                  <to>
                    <xdr:col>22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3</xdr:col>
                    <xdr:colOff>266700</xdr:colOff>
                    <xdr:row>4</xdr:row>
                    <xdr:rowOff>68580</xdr:rowOff>
                  </from>
                  <to>
                    <xdr:col>7</xdr:col>
                    <xdr:colOff>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8</xdr:col>
                    <xdr:colOff>30480</xdr:colOff>
                    <xdr:row>4</xdr:row>
                    <xdr:rowOff>68580</xdr:rowOff>
                  </from>
                  <to>
                    <xdr:col>11</xdr:col>
                    <xdr:colOff>38100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24</xdr:col>
                    <xdr:colOff>76200</xdr:colOff>
                    <xdr:row>3</xdr:row>
                    <xdr:rowOff>60960</xdr:rowOff>
                  </from>
                  <to>
                    <xdr:col>27</xdr:col>
                    <xdr:colOff>144780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15</xdr:col>
                    <xdr:colOff>137160</xdr:colOff>
                    <xdr:row>3</xdr:row>
                    <xdr:rowOff>60960</xdr:rowOff>
                  </from>
                  <to>
                    <xdr:col>19</xdr:col>
                    <xdr:colOff>114300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3</xdr:col>
                    <xdr:colOff>266700</xdr:colOff>
                    <xdr:row>6</xdr:row>
                    <xdr:rowOff>53340</xdr:rowOff>
                  </from>
                  <to>
                    <xdr:col>7</xdr:col>
                    <xdr:colOff>99060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8</xdr:col>
                    <xdr:colOff>30480</xdr:colOff>
                    <xdr:row>6</xdr:row>
                    <xdr:rowOff>53340</xdr:rowOff>
                  </from>
                  <to>
                    <xdr:col>10</xdr:col>
                    <xdr:colOff>220980</xdr:colOff>
                    <xdr:row>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7862C-C421-4B08-A41C-C69B62FBC37E}">
  <sheetPr codeName="Sheet4"/>
  <dimension ref="A1:G14"/>
  <sheetViews>
    <sheetView workbookViewId="0">
      <selection activeCell="J21" sqref="J21"/>
    </sheetView>
  </sheetViews>
  <sheetFormatPr defaultRowHeight="17.399999999999999" x14ac:dyDescent="0.4"/>
  <cols>
    <col min="1" max="1" width="20" customWidth="1"/>
    <col min="2" max="2" width="28.296875" customWidth="1"/>
    <col min="3" max="4" width="18.296875" customWidth="1"/>
    <col min="5" max="5" width="13.296875" customWidth="1"/>
    <col min="6" max="6" width="53.09765625" customWidth="1"/>
    <col min="7" max="7" width="15.796875" customWidth="1"/>
  </cols>
  <sheetData>
    <row r="1" spans="1:7" ht="34.049999999999997" customHeight="1" x14ac:dyDescent="0.4">
      <c r="A1" s="237" t="s">
        <v>200</v>
      </c>
      <c r="B1" s="237"/>
      <c r="C1" s="237"/>
      <c r="D1" s="237"/>
      <c r="E1" s="237"/>
      <c r="F1" s="237"/>
      <c r="G1" s="237"/>
    </row>
    <row r="3" spans="1:7" x14ac:dyDescent="0.4">
      <c r="A3" s="241" t="s">
        <v>201</v>
      </c>
      <c r="B3" s="241" t="s">
        <v>202</v>
      </c>
      <c r="C3" s="241" t="s">
        <v>235</v>
      </c>
      <c r="D3" s="241" t="s">
        <v>235</v>
      </c>
      <c r="E3" s="241" t="s">
        <v>203</v>
      </c>
      <c r="F3" s="241" t="s">
        <v>204</v>
      </c>
      <c r="G3" s="241" t="s">
        <v>224</v>
      </c>
    </row>
    <row r="4" spans="1:7" ht="18" thickBot="1" x14ac:dyDescent="0.45">
      <c r="A4" s="245" t="s">
        <v>205</v>
      </c>
      <c r="B4" s="246" t="s">
        <v>206</v>
      </c>
      <c r="C4" s="258" t="s">
        <v>236</v>
      </c>
      <c r="D4" s="258" t="s">
        <v>236</v>
      </c>
      <c r="E4" s="247" t="s">
        <v>207</v>
      </c>
      <c r="F4" s="246" t="s">
        <v>208</v>
      </c>
      <c r="G4" s="265" t="s">
        <v>238</v>
      </c>
    </row>
    <row r="5" spans="1:7" ht="18" thickBot="1" x14ac:dyDescent="0.45">
      <c r="A5" s="251" t="s">
        <v>209</v>
      </c>
      <c r="B5" s="252" t="s">
        <v>183</v>
      </c>
      <c r="C5" s="259" t="s">
        <v>236</v>
      </c>
      <c r="D5" s="259" t="s">
        <v>236</v>
      </c>
      <c r="E5" s="253" t="s">
        <v>210</v>
      </c>
      <c r="F5" s="252" t="s">
        <v>211</v>
      </c>
      <c r="G5" s="266" t="s">
        <v>238</v>
      </c>
    </row>
    <row r="6" spans="1:7" ht="18" thickBot="1" x14ac:dyDescent="0.45">
      <c r="A6" s="251"/>
      <c r="B6" s="252" t="s">
        <v>184</v>
      </c>
      <c r="C6" s="260">
        <v>720</v>
      </c>
      <c r="D6" s="260">
        <v>890</v>
      </c>
      <c r="E6" s="253" t="s">
        <v>210</v>
      </c>
      <c r="F6" s="252" t="s">
        <v>212</v>
      </c>
      <c r="G6" s="266" t="s">
        <v>238</v>
      </c>
    </row>
    <row r="7" spans="1:7" ht="18" thickBot="1" x14ac:dyDescent="0.45">
      <c r="A7" s="251"/>
      <c r="B7" s="252" t="s">
        <v>213</v>
      </c>
      <c r="C7" s="260">
        <v>1120</v>
      </c>
      <c r="D7" s="260" t="s">
        <v>236</v>
      </c>
      <c r="E7" s="253" t="s">
        <v>210</v>
      </c>
      <c r="F7" s="252" t="s">
        <v>214</v>
      </c>
      <c r="G7" s="266" t="s">
        <v>238</v>
      </c>
    </row>
    <row r="8" spans="1:7" ht="18" thickBot="1" x14ac:dyDescent="0.45">
      <c r="A8" s="251"/>
      <c r="B8" s="252" t="s">
        <v>215</v>
      </c>
      <c r="C8" s="260">
        <v>762</v>
      </c>
      <c r="D8" s="260" t="s">
        <v>236</v>
      </c>
      <c r="E8" s="253" t="s">
        <v>210</v>
      </c>
      <c r="F8" s="252"/>
      <c r="G8" s="266" t="s">
        <v>238</v>
      </c>
    </row>
    <row r="9" spans="1:7" ht="18" thickBot="1" x14ac:dyDescent="0.45">
      <c r="A9" s="248"/>
      <c r="B9" s="249" t="s">
        <v>216</v>
      </c>
      <c r="C9" s="261">
        <v>200</v>
      </c>
      <c r="D9" s="261">
        <v>247</v>
      </c>
      <c r="E9" s="250" t="s">
        <v>210</v>
      </c>
      <c r="F9" s="249"/>
      <c r="G9" s="267" t="s">
        <v>238</v>
      </c>
    </row>
    <row r="10" spans="1:7" x14ac:dyDescent="0.4">
      <c r="A10" s="254"/>
      <c r="B10" s="255" t="s">
        <v>229</v>
      </c>
      <c r="C10" s="262">
        <v>1200</v>
      </c>
      <c r="D10" s="262">
        <v>750</v>
      </c>
      <c r="E10" s="256" t="s">
        <v>210</v>
      </c>
      <c r="F10" s="255"/>
      <c r="G10" s="268" t="s">
        <v>238</v>
      </c>
    </row>
    <row r="11" spans="1:7" ht="18" thickBot="1" x14ac:dyDescent="0.45">
      <c r="A11" s="257"/>
      <c r="B11" s="246" t="s">
        <v>230</v>
      </c>
      <c r="C11" s="258">
        <v>1200</v>
      </c>
      <c r="D11" s="258">
        <v>415</v>
      </c>
      <c r="E11" s="247" t="s">
        <v>210</v>
      </c>
      <c r="F11" s="246"/>
      <c r="G11" s="265" t="s">
        <v>238</v>
      </c>
    </row>
    <row r="12" spans="1:7" ht="18" thickBot="1" x14ac:dyDescent="0.45">
      <c r="A12" s="248" t="s">
        <v>217</v>
      </c>
      <c r="B12" s="249" t="s">
        <v>185</v>
      </c>
      <c r="C12" s="261">
        <v>600</v>
      </c>
      <c r="D12" s="261">
        <v>368</v>
      </c>
      <c r="E12" s="250" t="s">
        <v>210</v>
      </c>
      <c r="F12" s="249"/>
      <c r="G12" s="267" t="s">
        <v>238</v>
      </c>
    </row>
    <row r="13" spans="1:7" x14ac:dyDescent="0.4">
      <c r="A13" s="242"/>
      <c r="B13" s="243" t="s">
        <v>218</v>
      </c>
      <c r="C13" s="263">
        <v>120</v>
      </c>
      <c r="D13" s="263">
        <v>70</v>
      </c>
      <c r="E13" s="244" t="s">
        <v>210</v>
      </c>
      <c r="F13" s="243"/>
      <c r="G13" s="269" t="s">
        <v>238</v>
      </c>
    </row>
    <row r="14" spans="1:7" x14ac:dyDescent="0.4">
      <c r="A14" s="240"/>
      <c r="B14" s="239" t="s">
        <v>219</v>
      </c>
      <c r="C14" s="264">
        <v>612</v>
      </c>
      <c r="D14" s="264">
        <v>336</v>
      </c>
      <c r="E14" s="238" t="s">
        <v>210</v>
      </c>
      <c r="F14" s="239"/>
      <c r="G14" s="270" t="s">
        <v>238</v>
      </c>
    </row>
  </sheetData>
  <mergeCells count="3">
    <mergeCell ref="A5:A11"/>
    <mergeCell ref="A12:A14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1.판매대행의뢰서</vt:lpstr>
      <vt:lpstr>2.티켓오픈공지문</vt:lpstr>
      <vt:lpstr>3.이미지 사이즈표</vt:lpstr>
      <vt:lpstr>'1.판매대행의뢰서'!Print_Area</vt:lpstr>
      <vt:lpstr>'2.티켓오픈공지문'!Print_Area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GS칼텍스 예울마루</dc:creator>
  <cp:lastModifiedBy>GS칼텍스 예울마루</cp:lastModifiedBy>
  <cp:lastPrinted>2017-07-07T11:12:39Z</cp:lastPrinted>
  <dcterms:created xsi:type="dcterms:W3CDTF">2014-11-07T01:50:00Z</dcterms:created>
  <dcterms:modified xsi:type="dcterms:W3CDTF">2026-07-10T05:15:36Z</dcterms:modified>
</cp:coreProperties>
</file>